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Download\"/>
    </mc:Choice>
  </mc:AlternateContent>
  <bookViews>
    <workbookView xWindow="0" yWindow="0" windowWidth="28800" windowHeight="12435" activeTab="4"/>
  </bookViews>
  <sheets>
    <sheet name="Übersicht" sheetId="1" r:id="rId1"/>
    <sheet name="Gruppenübersicht" sheetId="10" r:id="rId2"/>
    <sheet name="Fabian Kammermann" sheetId="5" r:id="rId3"/>
    <sheet name="Pascal Dittli" sheetId="7" r:id="rId4"/>
    <sheet name="Patrick Jolo" sheetId="8" r:id="rId5"/>
    <sheet name="Remy Lam" sheetId="9" r:id="rId6"/>
  </sheets>
  <calcPr calcId="152511" concurrentCalc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14" i="10" l="1"/>
  <c r="I10" i="10"/>
  <c r="I12" i="10"/>
  <c r="I13" i="10"/>
  <c r="I16" i="10"/>
  <c r="B10" i="9"/>
  <c r="B12" i="9"/>
  <c r="B11" i="10"/>
  <c r="J10" i="10"/>
  <c r="J15" i="10"/>
  <c r="J14" i="10"/>
  <c r="J13" i="10"/>
  <c r="J12" i="10"/>
  <c r="B35" i="10"/>
  <c r="B29" i="10"/>
  <c r="B26" i="10"/>
  <c r="B23" i="10"/>
  <c r="B20" i="10"/>
  <c r="B12" i="10"/>
  <c r="B13" i="10"/>
  <c r="B28" i="10"/>
  <c r="B24" i="10"/>
  <c r="B17" i="10"/>
  <c r="B18" i="10"/>
  <c r="B15" i="10"/>
  <c r="B30" i="10"/>
  <c r="B31" i="10"/>
  <c r="B25" i="10"/>
  <c r="B21" i="10"/>
  <c r="B14" i="10"/>
  <c r="B19" i="10"/>
  <c r="B10" i="10"/>
  <c r="E103" i="10"/>
  <c r="B102" i="10"/>
  <c r="B101" i="10"/>
  <c r="B100" i="10"/>
  <c r="B99" i="10"/>
  <c r="B98" i="10"/>
  <c r="B97" i="10"/>
  <c r="B96" i="10"/>
  <c r="B95" i="10"/>
  <c r="B94" i="10"/>
  <c r="B93" i="10"/>
  <c r="B92" i="10"/>
  <c r="B91" i="10"/>
  <c r="B90" i="10"/>
  <c r="B89" i="10"/>
  <c r="B88" i="10"/>
  <c r="B87" i="10"/>
  <c r="B86" i="10"/>
  <c r="B85" i="10"/>
  <c r="B84" i="10"/>
  <c r="B83" i="10"/>
  <c r="B82" i="10"/>
  <c r="B81" i="10"/>
  <c r="B80" i="10"/>
  <c r="B79" i="10"/>
  <c r="B78" i="10"/>
  <c r="B77" i="10"/>
  <c r="B76" i="10"/>
  <c r="B75" i="10"/>
  <c r="B74" i="10"/>
  <c r="B73" i="10"/>
  <c r="B72" i="10"/>
  <c r="B71" i="10"/>
  <c r="B70" i="10"/>
  <c r="B69" i="10"/>
  <c r="B68" i="10"/>
  <c r="B67" i="10"/>
  <c r="B66" i="10"/>
  <c r="B65" i="10"/>
  <c r="B64" i="10"/>
  <c r="B63" i="10"/>
  <c r="B62" i="10"/>
  <c r="B61" i="10"/>
  <c r="B60" i="10"/>
  <c r="B59" i="10"/>
  <c r="B58" i="10"/>
  <c r="B57" i="10"/>
  <c r="B56" i="10"/>
  <c r="B55" i="10"/>
  <c r="B54" i="10"/>
  <c r="B53" i="10"/>
  <c r="B52" i="10"/>
  <c r="B51" i="10"/>
  <c r="B50" i="10"/>
  <c r="B49" i="10"/>
  <c r="B48" i="10"/>
  <c r="B47" i="10"/>
  <c r="B46" i="10"/>
  <c r="B45" i="10"/>
  <c r="B44" i="10"/>
  <c r="B43" i="10"/>
  <c r="B42" i="10"/>
  <c r="B41" i="10"/>
  <c r="B40" i="10"/>
  <c r="B39" i="10"/>
  <c r="B38" i="10"/>
  <c r="B37" i="10"/>
  <c r="B36" i="10"/>
  <c r="B34" i="10"/>
  <c r="B33" i="10"/>
  <c r="B32" i="10"/>
  <c r="B27" i="10"/>
  <c r="B22" i="10"/>
  <c r="B16" i="10"/>
  <c r="B9" i="10"/>
  <c r="B8" i="10"/>
  <c r="B3" i="10"/>
  <c r="A3" i="10"/>
  <c r="B8" i="8"/>
  <c r="B9" i="8"/>
  <c r="B10" i="8"/>
  <c r="B11" i="8"/>
  <c r="B12" i="8"/>
  <c r="B13" i="8"/>
  <c r="B14" i="8"/>
  <c r="B15" i="8"/>
  <c r="B16" i="8"/>
  <c r="B19" i="8"/>
  <c r="B20" i="8"/>
  <c r="B17" i="8"/>
  <c r="B21" i="8"/>
  <c r="B22" i="8"/>
  <c r="B18" i="8"/>
  <c r="B23" i="8"/>
  <c r="B24" i="8"/>
  <c r="B25" i="8"/>
  <c r="B26" i="8"/>
  <c r="B27" i="8"/>
  <c r="B28" i="8"/>
  <c r="B29" i="8"/>
  <c r="B30" i="8"/>
  <c r="B31" i="8"/>
  <c r="B32" i="8"/>
  <c r="B33" i="8"/>
  <c r="B34" i="8"/>
  <c r="B35" i="8"/>
  <c r="B36" i="8"/>
  <c r="B37" i="8"/>
  <c r="B38" i="8"/>
  <c r="B39" i="8"/>
  <c r="B40" i="8"/>
  <c r="B41" i="8"/>
  <c r="B42" i="8"/>
  <c r="B43" i="8"/>
  <c r="B44" i="8"/>
  <c r="B45" i="8"/>
  <c r="B46" i="8"/>
  <c r="B47" i="8"/>
  <c r="B48" i="8"/>
  <c r="B49" i="8"/>
  <c r="B50" i="8"/>
  <c r="B51" i="8"/>
  <c r="B52" i="8"/>
  <c r="B53" i="8"/>
  <c r="B54" i="8"/>
  <c r="B55" i="8"/>
  <c r="B56" i="8"/>
  <c r="B57" i="8"/>
  <c r="B58" i="8"/>
  <c r="B59" i="8"/>
  <c r="B60" i="8"/>
  <c r="B61" i="8"/>
  <c r="B62" i="8"/>
  <c r="B63" i="8"/>
  <c r="B64" i="8"/>
  <c r="B65" i="8"/>
  <c r="B66" i="8"/>
  <c r="B67" i="8"/>
  <c r="B68" i="8"/>
  <c r="B69" i="8"/>
  <c r="B70" i="8"/>
  <c r="B71" i="8"/>
  <c r="B72" i="8"/>
  <c r="B73" i="8"/>
  <c r="B74" i="8"/>
  <c r="B75" i="8"/>
  <c r="B76" i="8"/>
  <c r="B77" i="8"/>
  <c r="B78" i="8"/>
  <c r="B79" i="8"/>
  <c r="B80" i="8"/>
  <c r="B81" i="8"/>
  <c r="B82" i="8"/>
  <c r="B8" i="9"/>
  <c r="B9" i="9"/>
  <c r="B11" i="9"/>
  <c r="B13" i="9"/>
  <c r="B14" i="9"/>
  <c r="B15" i="9"/>
  <c r="B16" i="9"/>
  <c r="B17" i="9"/>
  <c r="B18" i="9"/>
  <c r="B19" i="9"/>
  <c r="B20" i="9"/>
  <c r="B21" i="9"/>
  <c r="B22" i="9"/>
  <c r="B23" i="9"/>
  <c r="B24" i="9"/>
  <c r="B25" i="9"/>
  <c r="B26" i="9"/>
  <c r="B27" i="9"/>
  <c r="B28" i="9"/>
  <c r="B29" i="9"/>
  <c r="B30" i="9"/>
  <c r="B31" i="9"/>
  <c r="B32" i="9"/>
  <c r="B33" i="9"/>
  <c r="B34" i="9"/>
  <c r="B35" i="9"/>
  <c r="B36" i="9"/>
  <c r="B37" i="9"/>
  <c r="B38" i="9"/>
  <c r="B39" i="9"/>
  <c r="B40" i="9"/>
  <c r="B41" i="9"/>
  <c r="B42" i="9"/>
  <c r="B43" i="9"/>
  <c r="B44" i="9"/>
  <c r="B45" i="9"/>
  <c r="B46" i="9"/>
  <c r="B47" i="9"/>
  <c r="B48" i="9"/>
  <c r="B49" i="9"/>
  <c r="B50" i="9"/>
  <c r="B51" i="9"/>
  <c r="B52" i="9"/>
  <c r="B53" i="9"/>
  <c r="B54" i="9"/>
  <c r="B55" i="9"/>
  <c r="B56" i="9"/>
  <c r="B57" i="9"/>
  <c r="B58" i="9"/>
  <c r="B59" i="9"/>
  <c r="B60" i="9"/>
  <c r="B61" i="9"/>
  <c r="B62" i="9"/>
  <c r="B63" i="9"/>
  <c r="B64" i="9"/>
  <c r="B65" i="9"/>
  <c r="B66" i="9"/>
  <c r="B67" i="9"/>
  <c r="B68" i="9"/>
  <c r="B69" i="9"/>
  <c r="B70" i="9"/>
  <c r="B71" i="9"/>
  <c r="B72" i="9"/>
  <c r="B73" i="9"/>
  <c r="B74" i="9"/>
  <c r="B75" i="9"/>
  <c r="B76" i="9"/>
  <c r="B77" i="9"/>
  <c r="B78" i="9"/>
  <c r="B79" i="9"/>
  <c r="B80" i="9"/>
  <c r="B81" i="9"/>
  <c r="B82" i="9"/>
  <c r="B83" i="9"/>
  <c r="B84" i="9"/>
  <c r="B85" i="9"/>
  <c r="B86" i="9"/>
  <c r="B87" i="9"/>
  <c r="B88" i="9"/>
  <c r="B89" i="9"/>
  <c r="B90" i="9"/>
  <c r="B91" i="9"/>
  <c r="B92" i="9"/>
  <c r="B93" i="9"/>
  <c r="B20" i="5"/>
  <c r="B15" i="5"/>
  <c r="B24" i="5"/>
  <c r="B25" i="5"/>
  <c r="B26" i="5"/>
  <c r="B27" i="5"/>
  <c r="B28" i="5"/>
  <c r="B29" i="5"/>
  <c r="B30" i="5"/>
  <c r="B31" i="5"/>
  <c r="B32" i="5"/>
  <c r="B33" i="5"/>
  <c r="B34" i="5"/>
  <c r="B35" i="5"/>
  <c r="B36" i="5"/>
  <c r="B37" i="5"/>
  <c r="B38" i="5"/>
  <c r="B39" i="5"/>
  <c r="B40" i="5"/>
  <c r="B41" i="5"/>
  <c r="B42" i="5"/>
  <c r="B43" i="5"/>
  <c r="B44" i="5"/>
  <c r="B45" i="5"/>
  <c r="B46" i="5"/>
  <c r="B47" i="5"/>
  <c r="B48" i="5"/>
  <c r="B49" i="5"/>
  <c r="B50" i="5"/>
  <c r="B51" i="5"/>
  <c r="B52" i="5"/>
  <c r="B53" i="5"/>
  <c r="B54" i="5"/>
  <c r="B55" i="5"/>
  <c r="B56" i="5"/>
  <c r="B57" i="5"/>
  <c r="B58" i="5"/>
  <c r="B59" i="5"/>
  <c r="B60" i="5"/>
  <c r="B61" i="5"/>
  <c r="B62" i="5"/>
  <c r="B63" i="5"/>
  <c r="B64" i="5"/>
  <c r="B65" i="5"/>
  <c r="B66" i="5"/>
  <c r="B67" i="5"/>
  <c r="B68" i="5"/>
  <c r="B69" i="5"/>
  <c r="B70" i="5"/>
  <c r="B71" i="5"/>
  <c r="B72" i="5"/>
  <c r="B73" i="5"/>
  <c r="B74" i="5"/>
  <c r="B75" i="5"/>
  <c r="B76" i="5"/>
  <c r="B77" i="5"/>
  <c r="B78" i="5"/>
  <c r="B79" i="5"/>
  <c r="B80" i="5"/>
  <c r="B81" i="5"/>
  <c r="B82" i="5"/>
  <c r="B83" i="5"/>
  <c r="B84" i="5"/>
  <c r="B85" i="5"/>
  <c r="B86" i="5"/>
  <c r="B87" i="5"/>
  <c r="B88" i="5"/>
  <c r="B89" i="5"/>
  <c r="B90" i="5"/>
  <c r="B91" i="5"/>
  <c r="B9" i="5"/>
  <c r="B10" i="5"/>
  <c r="B11" i="5"/>
  <c r="B12" i="5"/>
  <c r="B13" i="5"/>
  <c r="B14" i="5"/>
  <c r="B16" i="5"/>
  <c r="B17" i="5"/>
  <c r="B18" i="5"/>
  <c r="B19" i="5"/>
  <c r="B21" i="5"/>
  <c r="B22" i="5"/>
  <c r="B23" i="5"/>
  <c r="B8" i="5"/>
  <c r="B20" i="7"/>
  <c r="B12" i="7"/>
  <c r="B8" i="7"/>
  <c r="B9" i="7"/>
  <c r="B10" i="7"/>
  <c r="B11" i="7"/>
  <c r="B13" i="7"/>
  <c r="B14" i="7"/>
  <c r="B15" i="7"/>
  <c r="B16" i="7"/>
  <c r="B17" i="7"/>
  <c r="B18" i="7"/>
  <c r="B19" i="7"/>
  <c r="B21" i="7"/>
  <c r="B22" i="7"/>
  <c r="B23" i="7"/>
  <c r="B24" i="7"/>
  <c r="B25" i="7"/>
  <c r="B26" i="7"/>
  <c r="B27" i="7"/>
  <c r="B28" i="7"/>
  <c r="B29" i="7"/>
  <c r="B30" i="7"/>
  <c r="B31" i="7"/>
  <c r="B32" i="7"/>
  <c r="B33" i="7"/>
  <c r="B34" i="7"/>
  <c r="B35" i="7"/>
  <c r="B36" i="7"/>
  <c r="B37" i="7"/>
  <c r="B38" i="7"/>
  <c r="B39" i="7"/>
  <c r="B40" i="7"/>
  <c r="B41" i="7"/>
  <c r="B42" i="7"/>
  <c r="B43" i="7"/>
  <c r="B44" i="7"/>
  <c r="B45" i="7"/>
  <c r="B46" i="7"/>
  <c r="B47" i="7"/>
  <c r="B48" i="7"/>
  <c r="B49" i="7"/>
  <c r="B50" i="7"/>
  <c r="B51" i="7"/>
  <c r="B52" i="7"/>
  <c r="B53" i="7"/>
  <c r="B54" i="7"/>
  <c r="B55" i="7"/>
  <c r="B56" i="7"/>
  <c r="B57" i="7"/>
  <c r="B58" i="7"/>
  <c r="B59" i="7"/>
  <c r="B60" i="7"/>
  <c r="B61" i="7"/>
  <c r="B62" i="7"/>
  <c r="B63" i="7"/>
  <c r="B64" i="7"/>
  <c r="B65" i="7"/>
  <c r="B66" i="7"/>
  <c r="B67" i="7"/>
  <c r="B68" i="7"/>
  <c r="B69" i="7"/>
  <c r="B70" i="7"/>
  <c r="B71" i="7"/>
  <c r="B72" i="7"/>
  <c r="B73" i="7"/>
  <c r="B74" i="7"/>
  <c r="B75" i="7"/>
  <c r="B76" i="7"/>
  <c r="B77" i="7"/>
  <c r="B78" i="7"/>
  <c r="B79" i="7"/>
  <c r="B80" i="7"/>
  <c r="B81" i="7"/>
  <c r="B82" i="7"/>
  <c r="B83" i="7"/>
  <c r="B84" i="7"/>
  <c r="E94" i="9"/>
  <c r="B3" i="9"/>
  <c r="A3" i="9"/>
  <c r="E83" i="8"/>
  <c r="B3" i="8"/>
  <c r="A3" i="8"/>
  <c r="E85" i="7"/>
  <c r="B3" i="7"/>
  <c r="A3" i="7"/>
  <c r="E92" i="5"/>
  <c r="B3" i="5"/>
  <c r="A3" i="5"/>
  <c r="B5" i="1"/>
  <c r="B6" i="1"/>
  <c r="B7" i="1"/>
  <c r="B8" i="1"/>
  <c r="B9" i="1"/>
  <c r="A8" i="1"/>
  <c r="A7" i="1"/>
  <c r="A6" i="1"/>
  <c r="A5" i="1"/>
</calcChain>
</file>

<file path=xl/sharedStrings.xml><?xml version="1.0" encoding="utf-8"?>
<sst xmlns="http://schemas.openxmlformats.org/spreadsheetml/2006/main" count="181" uniqueCount="59">
  <si>
    <t>Ergebnis</t>
  </si>
  <si>
    <t>Zeitrapportierung</t>
  </si>
  <si>
    <t>Datum</t>
  </si>
  <si>
    <t>Tätigkeit</t>
  </si>
  <si>
    <t>Aufwand
(in h)</t>
  </si>
  <si>
    <t>Person</t>
  </si>
  <si>
    <t>Aufwand Total</t>
  </si>
  <si>
    <t>Gesamtübersicht</t>
  </si>
  <si>
    <t>KW</t>
  </si>
  <si>
    <t>Fabian Kammermann</t>
  </si>
  <si>
    <t>Pascal Dittli</t>
  </si>
  <si>
    <t>Patrick Jolo</t>
  </si>
  <si>
    <t>Remy Lam</t>
  </si>
  <si>
    <t>Arbeit Zergliederung Spitalinformationssystem</t>
  </si>
  <si>
    <t>Arbeit an Zergliederung Leistungsnachweis</t>
  </si>
  <si>
    <t>Projektstrukturplan</t>
  </si>
  <si>
    <t>Arbeitspaket für Pflichtenheft erstellt</t>
  </si>
  <si>
    <t>Unterricht - Einführung, Ablauf, Datenflussdiagramme</t>
  </si>
  <si>
    <t>Unterricht - Projektziel, Projektzergliederung</t>
  </si>
  <si>
    <t>Unterricht - geführte Übung (SMART Ziele)</t>
  </si>
  <si>
    <t xml:space="preserve">Gruppensitzung </t>
  </si>
  <si>
    <t>Unterricht - Projektstruktur, Meilensteine Aufwand</t>
  </si>
  <si>
    <t>Tagesplaner Verfügbarkeit</t>
  </si>
  <si>
    <t>Unterricht - geführte Übung (Ressourcenmanagement)</t>
  </si>
  <si>
    <t>SMART-Ziele Definition</t>
  </si>
  <si>
    <t>Unterricht Berichtswesen, fortlaufende Dokumentation</t>
  </si>
  <si>
    <t>Sta.ma Pflichtenheft</t>
  </si>
  <si>
    <t xml:space="preserve">Unterricht - Freie Übung </t>
  </si>
  <si>
    <t>Tagesplaner, Smart-Ziele, Untersysteme</t>
  </si>
  <si>
    <t>Unterricht - Varianten und Simulation</t>
  </si>
  <si>
    <t>Dokumentations-Kontrolle</t>
  </si>
  <si>
    <t>Unterricht - freies Arbeiten</t>
  </si>
  <si>
    <t>Tagesplaner Tage eingetragen</t>
  </si>
  <si>
    <t>Vorgehensplan mit Hauptzielen</t>
  </si>
  <si>
    <t>Projektablaufplan bearbeitet</t>
  </si>
  <si>
    <t>Systems Engineering Strategie</t>
  </si>
  <si>
    <t>Dokumente Kontrolliert</t>
  </si>
  <si>
    <t>Unterricht - Projektziele, Projektzergliederung</t>
  </si>
  <si>
    <t>Unterricht - Projektstruktur, Meilensteine, Aufwand, Resourcenplanung, Personalplanung, Beschaffungsplanung</t>
  </si>
  <si>
    <t>Unterricht - Berichtswesen, fortlaufende Dokumentation</t>
  </si>
  <si>
    <t>sta.ma Pflichtenheft</t>
  </si>
  <si>
    <t>Tagesplaner, Systemabgrenzung für Kurs</t>
  </si>
  <si>
    <t>Systemabgrenzung</t>
  </si>
  <si>
    <t>Gruppe 6</t>
  </si>
  <si>
    <t>Beteiligt</t>
  </si>
  <si>
    <t>Gruppe</t>
  </si>
  <si>
    <t>Fabian</t>
  </si>
  <si>
    <t>Pascal</t>
  </si>
  <si>
    <t>Remy</t>
  </si>
  <si>
    <t xml:space="preserve">Remy </t>
  </si>
  <si>
    <t>Patrick</t>
  </si>
  <si>
    <t>Gruppensitzung</t>
  </si>
  <si>
    <t>Arbeitspakete und Ressourcenplanung bearbeitet, Dokumente kontrolliert</t>
  </si>
  <si>
    <t>Dokumente kontrolliert und hochgelden</t>
  </si>
  <si>
    <t>Gantt Diagramm erstellen</t>
  </si>
  <si>
    <t>Personalplanung</t>
  </si>
  <si>
    <t>Konzept für eine Onlinehilfe</t>
  </si>
  <si>
    <t>Risikoanalyse für Spitalinf</t>
  </si>
  <si>
    <t>Variante für Spitalinf.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</si>
</sst>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dd/mm/yyyy;@"/>
  </numFmts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1"/>
      <color rgb="FF363636"/>
      <name val="Segoe UI"/>
      <family val="2"/>
    </font>
  </fonts>
  <fills count="8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theme="1" tint="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164" fontId="0" fillId="0" borderId="0" xfId="0" applyNumberFormat="1"/>
    <xf numFmtId="164" fontId="2" fillId="0" borderId="0" xfId="0" applyNumberFormat="1" applyFont="1"/>
    <xf numFmtId="0" fontId="0" fillId="0" borderId="0" xfId="0" applyAlignment="1">
      <alignment wrapText="1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 vertical="center"/>
    </xf>
    <xf numFmtId="0" fontId="0" fillId="0" borderId="0" xfId="0" applyAlignment="1">
      <alignment horizontal="left"/>
    </xf>
    <xf numFmtId="164" fontId="1" fillId="2" borderId="0" xfId="0" applyNumberFormat="1" applyFont="1" applyFill="1"/>
    <xf numFmtId="0" fontId="3" fillId="0" borderId="0" xfId="0" applyFont="1"/>
    <xf numFmtId="0" fontId="0" fillId="0" borderId="0" xfId="0" applyNumberFormat="1" applyAlignment="1">
      <alignment horizontal="left"/>
    </xf>
    <xf numFmtId="0" fontId="0" fillId="0" borderId="0" xfId="0" applyNumberFormat="1" applyAlignment="1">
      <alignment vertical="center"/>
    </xf>
    <xf numFmtId="0" fontId="0" fillId="0" borderId="0" xfId="0" applyNumberFormat="1"/>
    <xf numFmtId="0" fontId="0" fillId="0" borderId="0" xfId="0" applyNumberFormat="1" applyAlignment="1">
      <alignment horizontal="left" vertical="center"/>
    </xf>
    <xf numFmtId="164" fontId="1" fillId="3" borderId="0" xfId="0" applyNumberFormat="1" applyFont="1" applyFill="1" applyAlignment="1">
      <alignment horizontal="left"/>
    </xf>
    <xf numFmtId="164" fontId="1" fillId="4" borderId="0" xfId="0" applyNumberFormat="1" applyFont="1" applyFill="1" applyAlignment="1">
      <alignment horizontal="left"/>
    </xf>
    <xf numFmtId="164" fontId="1" fillId="5" borderId="0" xfId="0" applyNumberFormat="1" applyFont="1" applyFill="1" applyAlignment="1">
      <alignment horizontal="left"/>
    </xf>
    <xf numFmtId="164" fontId="1" fillId="6" borderId="0" xfId="0" applyNumberFormat="1" applyFont="1" applyFill="1" applyAlignment="1">
      <alignment horizontal="left"/>
    </xf>
    <xf numFmtId="164" fontId="1" fillId="5" borderId="0" xfId="0" applyNumberFormat="1" applyFont="1" applyFill="1"/>
    <xf numFmtId="164" fontId="1" fillId="7" borderId="0" xfId="0" applyNumberFormat="1" applyFont="1" applyFill="1"/>
    <xf numFmtId="0" fontId="0" fillId="0" borderId="0" xfId="0" applyFill="1"/>
  </cellXfs>
  <cellStyles count="1">
    <cellStyle name="Standard" xfId="0" builtinId="0"/>
  </cellStyles>
  <dxfs count="47">
    <dxf>
      <alignment horizontal="general" vertical="bottom" textRotation="0" wrapText="1" indent="0" justifyLastLine="0" shrinkToFit="0" readingOrder="0"/>
    </dxf>
    <dxf>
      <alignment horizontal="left" vertical="bottom" textRotation="0" wrapText="0" indent="0" justifyLastLine="0" shrinkToFit="0" readingOrder="0"/>
    </dxf>
    <dxf>
      <numFmt numFmtId="0" formatCode="General"/>
    </dxf>
    <dxf>
      <alignment horizontal="general" vertical="bottom" textRotation="0" wrapText="1" indent="0" justifyLastLine="0" shrinkToFit="0" readingOrder="0"/>
    </dxf>
    <dxf>
      <alignment horizontal="general" textRotation="0" wrapText="1" indent="0" justifyLastLine="0" shrinkToFit="0" readingOrder="0"/>
    </dxf>
    <dxf>
      <alignment horizontal="left" vertical="bottom" textRotation="0" wrapText="0" indent="0" justifyLastLine="0" shrinkToFit="0" readingOrder="0"/>
    </dxf>
    <dxf>
      <numFmt numFmtId="164" formatCode="dd/mm/yyyy;@"/>
      <alignment horizontal="left" textRotation="0" wrapText="0" indent="0" justifyLastLine="0" shrinkToFit="0" readingOrder="0"/>
    </dxf>
    <dxf>
      <numFmt numFmtId="0" formatCode="General"/>
    </dxf>
    <dxf>
      <numFmt numFmtId="0" formatCode="General"/>
      <alignment horizontal="left" textRotation="0" wrapText="0" indent="0" justifyLastLine="0" shrinkToFit="0" readingOrder="0"/>
    </dxf>
    <dxf>
      <alignment horizontal="general" vertical="center" textRotation="0" indent="0" justifyLastLine="0" shrinkToFit="0" readingOrder="0"/>
    </dxf>
    <dxf>
      <numFmt numFmtId="0" formatCode="General"/>
    </dxf>
    <dxf>
      <numFmt numFmtId="164" formatCode="dd/mm/yyyy;@"/>
    </dxf>
    <dxf>
      <alignment horizontal="general" textRotation="0" wrapText="1" indent="0" justifyLastLine="0" shrinkToFit="0" readingOrder="0"/>
    </dxf>
    <dxf>
      <numFmt numFmtId="164" formatCode="dd/mm/yyyy;@"/>
      <alignment horizontal="left" textRotation="0" wrapText="0" indent="0" justifyLastLine="0" shrinkToFit="0" readingOrder="0"/>
    </dxf>
    <dxf>
      <numFmt numFmtId="0" formatCode="General"/>
      <alignment horizontal="left" textRotation="0" wrapText="0" indent="0" justifyLastLine="0" shrinkToFit="0" readingOrder="0"/>
    </dxf>
    <dxf>
      <alignment horizontal="general" vertical="center" textRotation="0" indent="0" justifyLastLine="0" shrinkToFit="0" readingOrder="0"/>
    </dxf>
    <dxf>
      <numFmt numFmtId="0" formatCode="General"/>
    </dxf>
    <dxf>
      <numFmt numFmtId="164" formatCode="dd/mm/yyyy;@"/>
    </dxf>
    <dxf>
      <alignment horizontal="general" vertical="bottom" textRotation="0" wrapText="1" indent="0" justifyLastLine="0" shrinkToFit="0" readingOrder="0"/>
    </dxf>
    <dxf>
      <alignment horizontal="general" textRotation="0" wrapText="1" indent="0" justifyLastLine="0" shrinkToFit="0" readingOrder="0"/>
    </dxf>
    <dxf>
      <alignment horizontal="left" vertical="bottom" textRotation="0" wrapText="0" indent="0" justifyLastLine="0" shrinkToFit="0" readingOrder="0"/>
    </dxf>
    <dxf>
      <numFmt numFmtId="164" formatCode="dd/mm/yyyy;@"/>
      <alignment horizontal="left" textRotation="0" wrapText="0" indent="0" justifyLastLine="0" shrinkToFit="0" readingOrder="0"/>
    </dxf>
    <dxf>
      <numFmt numFmtId="0" formatCode="General"/>
    </dxf>
    <dxf>
      <numFmt numFmtId="0" formatCode="General"/>
      <alignment horizontal="left" textRotation="0" wrapText="0" indent="0" justifyLastLine="0" shrinkToFit="0" readingOrder="0"/>
    </dxf>
    <dxf>
      <alignment horizontal="general" vertical="center" textRotation="0" indent="0" justifyLastLine="0" shrinkToFit="0" readingOrder="0"/>
    </dxf>
    <dxf>
      <numFmt numFmtId="0" formatCode="General"/>
    </dxf>
    <dxf>
      <numFmt numFmtId="164" formatCode="dd/mm/yyyy;@"/>
    </dxf>
    <dxf>
      <alignment horizontal="general" vertical="bottom" textRotation="0" wrapText="1" indent="0" justifyLastLine="0" shrinkToFit="0" readingOrder="0"/>
    </dxf>
    <dxf>
      <alignment horizontal="general" textRotation="0" wrapText="1" indent="0" justifyLastLine="0" shrinkToFit="0" readingOrder="0"/>
    </dxf>
    <dxf>
      <alignment horizontal="left" vertical="bottom" textRotation="0" wrapText="0" indent="0" justifyLastLine="0" shrinkToFit="0" readingOrder="0"/>
    </dxf>
    <dxf>
      <numFmt numFmtId="164" formatCode="dd/mm/yyyy;@"/>
      <alignment horizontal="left" textRotation="0" wrapText="0" indent="0" justifyLastLine="0" shrinkToFit="0" readingOrder="0"/>
    </dxf>
    <dxf>
      <numFmt numFmtId="0" formatCode="General"/>
    </dxf>
    <dxf>
      <numFmt numFmtId="164" formatCode="dd/mm/yyyy;@"/>
      <alignment horizontal="left" textRotation="0" wrapText="0" indent="0" justifyLastLine="0" shrinkToFit="0" readingOrder="0"/>
    </dxf>
    <dxf>
      <alignment horizontal="general" vertical="center" textRotation="0" indent="0" justifyLastLine="0" shrinkToFit="0" readingOrder="0"/>
    </dxf>
    <dxf>
      <numFmt numFmtId="0" formatCode="General"/>
    </dxf>
    <dxf>
      <numFmt numFmtId="164" formatCode="dd/mm/yyyy;@"/>
    </dxf>
    <dxf>
      <alignment horizontal="general" vertical="bottom" textRotation="0" wrapText="1" indent="0" justifyLastLine="0" shrinkToFit="0" readingOrder="0"/>
    </dxf>
    <dxf>
      <alignment horizontal="general" textRotation="0" wrapText="1" indent="0" justifyLastLine="0" shrinkToFit="0" readingOrder="0"/>
    </dxf>
    <dxf>
      <alignment horizontal="left" vertical="bottom" textRotation="0" wrapText="0" indent="0" justifyLastLine="0" shrinkToFit="0" readingOrder="0"/>
    </dxf>
    <dxf>
      <numFmt numFmtId="164" formatCode="dd/mm/yyyy;@"/>
      <alignment horizontal="left" textRotation="0" wrapText="0" indent="0" justifyLastLine="0" shrinkToFit="0" readingOrder="0"/>
    </dxf>
    <dxf>
      <numFmt numFmtId="0" formatCode="General"/>
    </dxf>
    <dxf>
      <numFmt numFmtId="0" formatCode="General"/>
      <alignment horizontal="left" textRotation="0" wrapText="0" indent="0" justifyLastLine="0" shrinkToFit="0" readingOrder="0"/>
    </dxf>
    <dxf>
      <alignment horizontal="general" vertical="center" textRotation="0" indent="0" justifyLastLine="0" shrinkToFit="0" readingOrder="0"/>
    </dxf>
    <dxf>
      <numFmt numFmtId="0" formatCode="General"/>
    </dxf>
    <dxf>
      <numFmt numFmtId="164" formatCode="dd/mm/yyyy;@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8" name="Tabelle69" displayName="Tabelle69" ref="A4:B9" totalsRowCount="1">
  <autoFilter ref="A4:B8"/>
  <tableColumns count="2">
    <tableColumn id="1" name="Person" totalsRowLabel="Ergebnis" dataDxfId="46"/>
    <tableColumn id="2" name="Aufwand Total" totalsRowFunction="sum" dataDxfId="45"/>
  </tableColumns>
  <tableStyleInfo name="TableStyleDark6" showFirstColumn="0" showLastColumn="0" showRowStripes="1" showColumnStripes="0"/>
</table>
</file>

<file path=xl/tables/table2.xml><?xml version="1.0" encoding="utf-8"?>
<table xmlns="http://schemas.openxmlformats.org/spreadsheetml/2006/main" id="1" name="Tabelle697202" displayName="Tabelle697202" ref="A2:B3" totalsRowShown="0">
  <autoFilter ref="A2:B3"/>
  <tableColumns count="2">
    <tableColumn id="1" name="Person" dataDxfId="44"/>
    <tableColumn id="2" name="Aufwand Total" dataDxfId="43"/>
  </tableColumns>
  <tableStyleInfo name="TableStyleDark6" showFirstColumn="0" showLastColumn="0" showRowStripes="1" showColumnStripes="0"/>
</table>
</file>

<file path=xl/tables/table3.xml><?xml version="1.0" encoding="utf-8"?>
<table xmlns="http://schemas.openxmlformats.org/spreadsheetml/2006/main" id="2" name="Tabelle35108213" displayName="Tabelle35108213" ref="B7:F103" totalsRowCount="1" headerRowDxfId="42">
  <autoFilter ref="B7:F102"/>
  <sortState ref="B8:E90">
    <sortCondition descending="1" ref="C11:C94"/>
  </sortState>
  <tableColumns count="5">
    <tableColumn id="5" name="KW" dataDxfId="41" totalsRowDxfId="40">
      <calculatedColumnFormula>WEEKNUM(Tabelle35108213[[#This Row],[Datum]])-1</calculatedColumnFormula>
    </tableColumn>
    <tableColumn id="1" name="Datum" totalsRowLabel="Ergebnis" dataDxfId="39" totalsRowDxfId="38"/>
    <tableColumn id="2" name="Tätigkeit" dataDxfId="37" totalsRowDxfId="36"/>
    <tableColumn id="3" name="Aufwand_x000a_(in h)" totalsRowFunction="sum"/>
    <tableColumn id="4" name="Beteiligt"/>
  </tableColumns>
  <tableStyleInfo name="TableStyleMedium6" showFirstColumn="0" showLastColumn="0" showRowStripes="1" showColumnStripes="0"/>
</table>
</file>

<file path=xl/tables/table4.xml><?xml version="1.0" encoding="utf-8"?>
<table xmlns="http://schemas.openxmlformats.org/spreadsheetml/2006/main" id="11" name="Tabelle69712" displayName="Tabelle69712" ref="A2:B3" totalsRowShown="0">
  <autoFilter ref="A2:B3"/>
  <tableColumns count="2">
    <tableColumn id="1" name="Person" dataDxfId="35">
      <calculatedColumnFormula>B6</calculatedColumnFormula>
    </tableColumn>
    <tableColumn id="2" name="Aufwand Total" dataDxfId="34">
      <calculatedColumnFormula>Tabelle3510813[[#Totals],[Aufwand
(in h)]]</calculatedColumnFormula>
    </tableColumn>
  </tableColumns>
  <tableStyleInfo name="TableStyleDark6" showFirstColumn="0" showLastColumn="0" showRowStripes="1" showColumnStripes="0"/>
</table>
</file>

<file path=xl/tables/table5.xml><?xml version="1.0" encoding="utf-8"?>
<table xmlns="http://schemas.openxmlformats.org/spreadsheetml/2006/main" id="12" name="Tabelle3510813" displayName="Tabelle3510813" ref="B7:E92" totalsRowCount="1" headerRowDxfId="33">
  <autoFilter ref="B7:E91"/>
  <sortState ref="B8:E91">
    <sortCondition ref="C7:C91"/>
  </sortState>
  <tableColumns count="4">
    <tableColumn id="5" name="KW" dataDxfId="32" totalsRowDxfId="31">
      <calculatedColumnFormula>WEEKNUM(C8,2)</calculatedColumnFormula>
    </tableColumn>
    <tableColumn id="1" name="Datum" totalsRowLabel="Ergebnis" dataDxfId="30" totalsRowDxfId="29"/>
    <tableColumn id="2" name="Tätigkeit" dataDxfId="28" totalsRowDxfId="27"/>
    <tableColumn id="3" name="Aufwand_x000a_(in h)" totalsRowFunction="sum"/>
  </tableColumns>
  <tableStyleInfo name="TableStyleLight20" showFirstColumn="0" showLastColumn="0" showRowStripes="1" showColumnStripes="0"/>
</table>
</file>

<file path=xl/tables/table6.xml><?xml version="1.0" encoding="utf-8"?>
<table xmlns="http://schemas.openxmlformats.org/spreadsheetml/2006/main" id="15" name="Tabelle69716" displayName="Tabelle69716" ref="A2:B3" totalsRowShown="0">
  <autoFilter ref="A2:B3"/>
  <tableColumns count="2">
    <tableColumn id="1" name="Person" dataDxfId="26">
      <calculatedColumnFormula>B6</calculatedColumnFormula>
    </tableColumn>
    <tableColumn id="2" name="Aufwand Total" dataDxfId="25">
      <calculatedColumnFormula>#REF!</calculatedColumnFormula>
    </tableColumn>
  </tableColumns>
  <tableStyleInfo name="TableStyleDark10" showFirstColumn="0" showLastColumn="0" showRowStripes="1" showColumnStripes="0"/>
</table>
</file>

<file path=xl/tables/table7.xml><?xml version="1.0" encoding="utf-8"?>
<table xmlns="http://schemas.openxmlformats.org/spreadsheetml/2006/main" id="16" name="Tabelle3510817" displayName="Tabelle3510817" ref="B7:E85" totalsRowCount="1" headerRowDxfId="24">
  <autoFilter ref="B7:E84"/>
  <sortState ref="B9:E91">
    <sortCondition descending="1" ref="C11:C94"/>
  </sortState>
  <tableColumns count="4">
    <tableColumn id="5" name="KW" dataDxfId="23" totalsRowDxfId="22">
      <calculatedColumnFormula>WEEKNUM(Tabelle3510817[[#This Row],[Datum]])-1</calculatedColumnFormula>
    </tableColumn>
    <tableColumn id="1" name="Datum" totalsRowLabel="Ergebnis" dataDxfId="21" totalsRowDxfId="20"/>
    <tableColumn id="2" name="Tätigkeit" dataDxfId="19" totalsRowDxfId="18"/>
    <tableColumn id="3" name="Aufwand_x000a_(in h)" totalsRowFunction="sum"/>
  </tableColumns>
  <tableStyleInfo name="TableStyleMedium5" showFirstColumn="0" showLastColumn="0" showRowStripes="1" showColumnStripes="0"/>
</table>
</file>

<file path=xl/tables/table8.xml><?xml version="1.0" encoding="utf-8"?>
<table xmlns="http://schemas.openxmlformats.org/spreadsheetml/2006/main" id="17" name="Tabelle69718" displayName="Tabelle69718" ref="A2:B3" totalsRowShown="0">
  <autoFilter ref="A2:B3"/>
  <tableColumns count="2">
    <tableColumn id="1" name="Person" dataDxfId="17">
      <calculatedColumnFormula>B6</calculatedColumnFormula>
    </tableColumn>
    <tableColumn id="2" name="Aufwand Total" dataDxfId="16">
      <calculatedColumnFormula>Tabelle3510819[[#Totals],[Aufwand
(in h)]]</calculatedColumnFormula>
    </tableColumn>
  </tableColumns>
  <tableStyleInfo name="TableStyleDark8" showFirstColumn="0" showLastColumn="0" showRowStripes="1" showColumnStripes="0"/>
</table>
</file>

<file path=xl/tables/table9.xml><?xml version="1.0" encoding="utf-8"?>
<table xmlns="http://schemas.openxmlformats.org/spreadsheetml/2006/main" id="18" name="Tabelle3510819" displayName="Tabelle3510819" ref="B7:E83" totalsRowCount="1" headerRowDxfId="15">
  <autoFilter ref="B7:E82"/>
  <sortState ref="B8:E82">
    <sortCondition ref="C7:C82"/>
  </sortState>
  <tableColumns count="4">
    <tableColumn id="5" name="KW" dataDxfId="14" totalsRowDxfId="2">
      <calculatedColumnFormula>WEEKNUM(Tabelle3510819[[#This Row],[Datum]])-1</calculatedColumnFormula>
    </tableColumn>
    <tableColumn id="1" name="Datum" totalsRowLabel="Ergebnis" dataDxfId="13" totalsRowDxfId="1"/>
    <tableColumn id="2" name="Tätigkeit" dataDxfId="12" totalsRowDxfId="0"/>
    <tableColumn id="3" name="Aufwand_x000a_(in h)" totalsRowFunction="sum"/>
  </tableColumns>
  <tableStyleInfo name="TableStyleMedium4" showFirstColumn="0" showLastColumn="0" showRowStripes="1" showColumnStripes="0"/>
</table>
</file>

<file path=xl/tables/table10.xml><?xml version="1.0" encoding="utf-8"?>
<table xmlns="http://schemas.openxmlformats.org/spreadsheetml/2006/main" id="19" name="Tabelle69720" displayName="Tabelle69720" ref="A2:B3" totalsRowShown="0">
  <autoFilter ref="A2:B3"/>
  <tableColumns count="2">
    <tableColumn id="1" name="Person" dataDxfId="11">
      <calculatedColumnFormula>B6</calculatedColumnFormula>
    </tableColumn>
    <tableColumn id="2" name="Aufwand Total" dataDxfId="10">
      <calculatedColumnFormula>Tabelle3510821[[#Totals],[Aufwand
(in h)]]</calculatedColumnFormula>
    </tableColumn>
  </tableColumns>
  <tableStyleInfo name="TableStyleDark6" showFirstColumn="0" showLastColumn="0" showRowStripes="1" showColumnStripes="0"/>
</table>
</file>

<file path=xl/tables/table11.xml><?xml version="1.0" encoding="utf-8"?>
<table xmlns="http://schemas.openxmlformats.org/spreadsheetml/2006/main" id="20" name="Tabelle3510821" displayName="Tabelle3510821" ref="B7:E94" totalsRowCount="1" headerRowDxfId="9">
  <autoFilter ref="B7:E93"/>
  <sortState ref="B9:E91">
    <sortCondition descending="1" ref="C11:C94"/>
  </sortState>
  <tableColumns count="4">
    <tableColumn id="5" name="KW" dataDxfId="8" totalsRowDxfId="7">
      <calculatedColumnFormula>WEEKNUM(Tabelle3510821[[#This Row],[Datum]])-1</calculatedColumnFormula>
    </tableColumn>
    <tableColumn id="1" name="Datum" totalsRowLabel="Ergebnis" dataDxfId="6" totalsRowDxfId="5"/>
    <tableColumn id="2" name="Tätigkeit" dataDxfId="4" totalsRowDxfId="3"/>
    <tableColumn id="3" name="Aufwand_x000a_(in h)" totalsRowFunction="sum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.xml"/><Relationship Id="rId2" Type="http://schemas.openxmlformats.org/officeDocument/2006/relationships/table" Target="../tables/table6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.xml"/><Relationship Id="rId2" Type="http://schemas.openxmlformats.org/officeDocument/2006/relationships/table" Target="../tables/table8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1.xml"/><Relationship Id="rId2" Type="http://schemas.openxmlformats.org/officeDocument/2006/relationships/table" Target="../tables/table10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 tint="-0.249977111117893"/>
  </sheetPr>
  <dimension ref="A1:AG9"/>
  <sheetViews>
    <sheetView zoomScaleNormal="85" zoomScalePageLayoutView="85" workbookViewId="0">
      <selection activeCell="A6" sqref="A6"/>
    </sheetView>
  </sheetViews>
  <sheetFormatPr baseColWidth="10" defaultColWidth="11.42578125" defaultRowHeight="15" x14ac:dyDescent="0.25"/>
  <cols>
    <col min="1" max="1" width="29.28515625" style="1" customWidth="1"/>
    <col min="2" max="2" width="15.7109375" style="1" customWidth="1"/>
    <col min="3" max="3" width="14.5703125" style="6" customWidth="1"/>
    <col min="4" max="4" width="30.5703125" style="3" customWidth="1"/>
    <col min="5" max="5" width="8.7109375" customWidth="1"/>
    <col min="6" max="6" width="11.28515625" customWidth="1"/>
    <col min="7" max="7" width="14.5703125" style="6" customWidth="1"/>
    <col min="8" max="8" width="30.5703125" style="3" customWidth="1"/>
    <col min="9" max="9" width="22.7109375" customWidth="1"/>
    <col min="10" max="10" width="9.42578125" customWidth="1"/>
    <col min="11" max="11" width="9.42578125" style="6" customWidth="1"/>
    <col min="12" max="12" width="14.5703125" style="6" customWidth="1"/>
    <col min="13" max="13" width="30.5703125" style="3" customWidth="1"/>
    <col min="14" max="14" width="22.7109375" customWidth="1"/>
    <col min="15" max="15" width="9.42578125" customWidth="1"/>
    <col min="17" max="17" width="14.5703125" style="6" customWidth="1"/>
    <col min="18" max="18" width="30.5703125" style="3" customWidth="1"/>
    <col min="19" max="19" width="22.7109375" customWidth="1"/>
    <col min="20" max="20" width="9.42578125" customWidth="1"/>
    <col min="22" max="22" width="14.5703125" style="6" customWidth="1"/>
    <col min="23" max="23" width="30.5703125" style="3" customWidth="1"/>
    <col min="24" max="24" width="22.7109375" customWidth="1"/>
    <col min="25" max="25" width="9.42578125" customWidth="1"/>
    <col min="27" max="27" width="14.5703125" style="6" customWidth="1"/>
    <col min="28" max="28" width="30.5703125" style="3" customWidth="1"/>
    <col min="29" max="29" width="22.7109375" customWidth="1"/>
    <col min="30" max="30" width="9.42578125" customWidth="1"/>
    <col min="32" max="32" width="14.5703125" style="6" customWidth="1"/>
    <col min="33" max="33" width="30.5703125" style="3" customWidth="1"/>
    <col min="34" max="34" width="22.7109375" customWidth="1"/>
    <col min="35" max="35" width="9.42578125" customWidth="1"/>
  </cols>
  <sheetData>
    <row r="1" spans="1:4" ht="26.25" x14ac:dyDescent="0.4">
      <c r="A1" s="2" t="s">
        <v>1</v>
      </c>
      <c r="B1" s="2"/>
    </row>
    <row r="2" spans="1:4" ht="14.65" customHeight="1" x14ac:dyDescent="0.4">
      <c r="A2" s="2"/>
      <c r="B2" s="2"/>
      <c r="D2" s="10"/>
    </row>
    <row r="3" spans="1:4" ht="14.65" customHeight="1" x14ac:dyDescent="0.4">
      <c r="A3" s="9" t="s">
        <v>7</v>
      </c>
      <c r="B3" s="2"/>
      <c r="D3" s="10"/>
    </row>
    <row r="4" spans="1:4" ht="14.65" customHeight="1" x14ac:dyDescent="0.25">
      <c r="A4" t="s">
        <v>5</v>
      </c>
      <c r="B4" t="s">
        <v>6</v>
      </c>
    </row>
    <row r="5" spans="1:4" ht="14.65" customHeight="1" x14ac:dyDescent="0.25">
      <c r="A5" t="str">
        <f>Tabelle69712[Person]</f>
        <v>Fabian Kammermann</v>
      </c>
      <c r="B5">
        <f>Tabelle69712[Aufwand Total]</f>
        <v>55.5</v>
      </c>
    </row>
    <row r="6" spans="1:4" x14ac:dyDescent="0.25">
      <c r="A6" s="1" t="str">
        <f>Tabelle69716[Person]</f>
        <v>Pascal Dittli</v>
      </c>
      <c r="B6" s="13">
        <f>Tabelle69716[Aufwand Total]</f>
        <v>56.5</v>
      </c>
    </row>
    <row r="7" spans="1:4" x14ac:dyDescent="0.25">
      <c r="A7" s="1" t="str">
        <f>Tabelle69718[Person]</f>
        <v>Patrick Jolo</v>
      </c>
      <c r="B7" s="13">
        <f>Tabelle69718[Aufwand Total]</f>
        <v>63</v>
      </c>
    </row>
    <row r="8" spans="1:4" x14ac:dyDescent="0.25">
      <c r="A8" s="1" t="str">
        <f>Tabelle69720[Person]</f>
        <v>Remy Lam</v>
      </c>
      <c r="B8" s="13">
        <f>Tabelle69720[Aufwand Total]</f>
        <v>58.5</v>
      </c>
    </row>
    <row r="9" spans="1:4" x14ac:dyDescent="0.25">
      <c r="A9" t="s">
        <v>0</v>
      </c>
      <c r="B9">
        <f>SUBTOTAL(109,Tabelle69[Aufwand Total])</f>
        <v>233.5</v>
      </c>
    </row>
  </sheetData>
  <pageMargins left="0.7" right="0.7" top="0.78740157499999996" bottom="0.78740157499999996" header="0.3" footer="0.3"/>
  <pageSetup paperSize="9" orientation="landscape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0"/>
  </sheetPr>
  <dimension ref="A1:J103"/>
  <sheetViews>
    <sheetView zoomScale="70" zoomScaleNormal="70" workbookViewId="0">
      <selection activeCell="C1" sqref="C1"/>
    </sheetView>
  </sheetViews>
  <sheetFormatPr baseColWidth="10" defaultRowHeight="15" x14ac:dyDescent="0.25"/>
  <cols>
    <col min="1" max="1" width="14.7109375" customWidth="1"/>
    <col min="2" max="2" width="13.85546875" customWidth="1"/>
    <col min="3" max="3" width="17.28515625" customWidth="1"/>
    <col min="4" max="4" width="51.140625" customWidth="1"/>
    <col min="5" max="5" width="13.28515625" customWidth="1"/>
  </cols>
  <sheetData>
    <row r="1" spans="1:10" ht="26.25" x14ac:dyDescent="0.4">
      <c r="A1" s="9" t="s">
        <v>7</v>
      </c>
      <c r="B1" s="2"/>
      <c r="C1" s="6"/>
      <c r="D1" s="10"/>
    </row>
    <row r="2" spans="1:10" x14ac:dyDescent="0.25">
      <c r="A2" t="s">
        <v>5</v>
      </c>
      <c r="B2" t="s">
        <v>6</v>
      </c>
      <c r="C2" s="6"/>
      <c r="D2" s="3"/>
    </row>
    <row r="3" spans="1:10" x14ac:dyDescent="0.25">
      <c r="A3" s="1" t="str">
        <f>B6</f>
        <v>Gruppe 6</v>
      </c>
      <c r="B3">
        <f>Tabelle35108213[[#Totals],[Aufwand
(in h)]]</f>
        <v>205</v>
      </c>
      <c r="C3" s="6"/>
      <c r="D3" s="6"/>
    </row>
    <row r="4" spans="1:10" x14ac:dyDescent="0.25">
      <c r="A4" s="1"/>
      <c r="B4" s="1"/>
      <c r="C4" s="6"/>
      <c r="D4" s="3"/>
    </row>
    <row r="5" spans="1:10" x14ac:dyDescent="0.25">
      <c r="A5" s="1"/>
      <c r="B5" s="1"/>
      <c r="C5" s="6"/>
      <c r="D5" s="3"/>
    </row>
    <row r="6" spans="1:10" x14ac:dyDescent="0.25">
      <c r="A6" s="1"/>
      <c r="B6" s="15" t="s">
        <v>43</v>
      </c>
      <c r="C6" s="3"/>
    </row>
    <row r="7" spans="1:10" ht="30" x14ac:dyDescent="0.25">
      <c r="A7" s="4"/>
      <c r="B7" s="12" t="s">
        <v>8</v>
      </c>
      <c r="C7" s="7" t="s">
        <v>2</v>
      </c>
      <c r="D7" s="5" t="s">
        <v>3</v>
      </c>
      <c r="E7" s="5" t="s">
        <v>4</v>
      </c>
      <c r="F7" s="5" t="s">
        <v>44</v>
      </c>
    </row>
    <row r="8" spans="1:10" x14ac:dyDescent="0.25">
      <c r="A8" s="1"/>
      <c r="B8" s="11">
        <f>WEEKNUM(Tabelle35108213[[#This Row],[Datum]])-1</f>
        <v>38</v>
      </c>
      <c r="C8" s="6">
        <v>42634</v>
      </c>
      <c r="D8" s="3" t="s">
        <v>17</v>
      </c>
      <c r="E8">
        <v>16</v>
      </c>
      <c r="F8" t="s">
        <v>45</v>
      </c>
    </row>
    <row r="9" spans="1:10" x14ac:dyDescent="0.25">
      <c r="A9" s="1"/>
      <c r="B9" s="11">
        <f>WEEKNUM(Tabelle35108213[[#This Row],[Datum]])-1</f>
        <v>39</v>
      </c>
      <c r="C9" s="6">
        <v>42641</v>
      </c>
      <c r="D9" s="3" t="s">
        <v>37</v>
      </c>
      <c r="E9">
        <v>16</v>
      </c>
      <c r="F9" t="s">
        <v>45</v>
      </c>
    </row>
    <row r="10" spans="1:10" x14ac:dyDescent="0.25">
      <c r="A10" s="1"/>
      <c r="B10" s="11">
        <f>WEEKNUM(Tabelle35108213[[#This Row],[Datum]])-1</f>
        <v>40</v>
      </c>
      <c r="C10" s="6">
        <v>42647</v>
      </c>
      <c r="D10" s="3" t="s">
        <v>20</v>
      </c>
      <c r="E10">
        <v>10</v>
      </c>
      <c r="F10" t="s">
        <v>45</v>
      </c>
      <c r="H10" t="s">
        <v>45</v>
      </c>
      <c r="I10">
        <f>SUM(E11,E8,E9,E10,E16,E19,E22,E27,E32,E33,E34)</f>
        <v>162</v>
      </c>
      <c r="J10">
        <f>I10/4</f>
        <v>40.5</v>
      </c>
    </row>
    <row r="11" spans="1:10" x14ac:dyDescent="0.25">
      <c r="A11" s="1"/>
      <c r="B11" s="11">
        <f>WEEKNUM(Tabelle35108213[[#This Row],[Datum]])-1</f>
        <v>40</v>
      </c>
      <c r="C11" s="6">
        <v>42648</v>
      </c>
      <c r="D11" s="3" t="s">
        <v>19</v>
      </c>
      <c r="E11">
        <v>16</v>
      </c>
      <c r="F11" t="s">
        <v>45</v>
      </c>
    </row>
    <row r="12" spans="1:10" x14ac:dyDescent="0.25">
      <c r="A12" s="1"/>
      <c r="B12" s="11">
        <f>WEEKNUM(Tabelle35108213[[#This Row],[Datum]])-1</f>
        <v>40</v>
      </c>
      <c r="C12" s="6">
        <v>42648</v>
      </c>
      <c r="D12" s="3" t="s">
        <v>13</v>
      </c>
      <c r="E12">
        <v>3</v>
      </c>
      <c r="F12" t="s">
        <v>48</v>
      </c>
      <c r="H12" t="s">
        <v>47</v>
      </c>
      <c r="I12">
        <f>SUM(E15,E17,E18,E24,E28)</f>
        <v>16</v>
      </c>
      <c r="J12">
        <f>J10+I12</f>
        <v>56.5</v>
      </c>
    </row>
    <row r="13" spans="1:10" x14ac:dyDescent="0.25">
      <c r="A13" s="1"/>
      <c r="B13" s="11">
        <f>WEEKNUM(Tabelle35108213[[#This Row],[Datum]])-1</f>
        <v>40</v>
      </c>
      <c r="C13" s="6">
        <v>42649</v>
      </c>
      <c r="D13" s="3" t="s">
        <v>14</v>
      </c>
      <c r="E13">
        <v>2</v>
      </c>
      <c r="F13" t="s">
        <v>48</v>
      </c>
      <c r="H13" t="s">
        <v>49</v>
      </c>
      <c r="I13">
        <f>SUM(E12,E13,E20,E23,E26,E29,E35)</f>
        <v>18</v>
      </c>
      <c r="J13">
        <f>J10+I13</f>
        <v>58.5</v>
      </c>
    </row>
    <row r="14" spans="1:10" x14ac:dyDescent="0.25">
      <c r="A14" s="1"/>
      <c r="B14" s="11">
        <f>WEEKNUM(Tabelle35108213[[#This Row],[Datum]])-1</f>
        <v>40</v>
      </c>
      <c r="C14" s="6">
        <v>42650</v>
      </c>
      <c r="D14" s="3" t="s">
        <v>36</v>
      </c>
      <c r="E14">
        <v>1</v>
      </c>
      <c r="F14" t="s">
        <v>46</v>
      </c>
      <c r="H14" t="s">
        <v>46</v>
      </c>
      <c r="I14">
        <f>SUM(E21,E25,E30,E31,E14)</f>
        <v>9</v>
      </c>
      <c r="J14">
        <f>J10+I14</f>
        <v>49.5</v>
      </c>
    </row>
    <row r="15" spans="1:10" x14ac:dyDescent="0.25">
      <c r="A15" s="1"/>
      <c r="B15" s="11">
        <f>WEEKNUM(Tabelle35108213[[#This Row],[Datum]])-1</f>
        <v>40</v>
      </c>
      <c r="C15" s="6">
        <v>42651</v>
      </c>
      <c r="D15" s="3" t="s">
        <v>35</v>
      </c>
      <c r="E15">
        <v>1.5</v>
      </c>
      <c r="F15" t="s">
        <v>47</v>
      </c>
      <c r="H15" t="s">
        <v>50</v>
      </c>
      <c r="I15">
        <v>0</v>
      </c>
      <c r="J15">
        <f>J10+I15</f>
        <v>40.5</v>
      </c>
    </row>
    <row r="16" spans="1:10" ht="45" x14ac:dyDescent="0.25">
      <c r="A16" s="1"/>
      <c r="B16" s="11">
        <f>WEEKNUM(Tabelle35108213[[#This Row],[Datum]])-1</f>
        <v>41</v>
      </c>
      <c r="C16" s="6">
        <v>42655</v>
      </c>
      <c r="D16" s="3" t="s">
        <v>38</v>
      </c>
      <c r="E16">
        <v>16</v>
      </c>
      <c r="F16" t="s">
        <v>45</v>
      </c>
      <c r="I16">
        <f>SUM(I10:I15)</f>
        <v>205</v>
      </c>
    </row>
    <row r="17" spans="1:6" x14ac:dyDescent="0.25">
      <c r="A17" s="1"/>
      <c r="B17" s="11">
        <f>WEEKNUM(Tabelle35108213[[#This Row],[Datum]])-1</f>
        <v>41</v>
      </c>
      <c r="C17" s="6">
        <v>42658</v>
      </c>
      <c r="D17" s="3" t="s">
        <v>22</v>
      </c>
      <c r="E17">
        <v>3.5</v>
      </c>
      <c r="F17" t="s">
        <v>47</v>
      </c>
    </row>
    <row r="18" spans="1:6" x14ac:dyDescent="0.25">
      <c r="A18" s="1"/>
      <c r="B18" s="11">
        <f>WEEKNUM(Tabelle35108213[[#This Row],[Datum]])-1</f>
        <v>42</v>
      </c>
      <c r="C18" s="6">
        <v>42661</v>
      </c>
      <c r="D18" s="3" t="s">
        <v>24</v>
      </c>
      <c r="E18">
        <v>2</v>
      </c>
      <c r="F18" t="s">
        <v>47</v>
      </c>
    </row>
    <row r="19" spans="1:6" x14ac:dyDescent="0.25">
      <c r="A19" s="1"/>
      <c r="B19" s="11">
        <f>WEEKNUM(Tabelle35108213[[#This Row],[Datum]])-1</f>
        <v>42</v>
      </c>
      <c r="C19" s="6">
        <v>42662</v>
      </c>
      <c r="D19" s="3" t="s">
        <v>23</v>
      </c>
      <c r="E19">
        <v>16</v>
      </c>
      <c r="F19" t="s">
        <v>45</v>
      </c>
    </row>
    <row r="20" spans="1:6" x14ac:dyDescent="0.25">
      <c r="A20" s="1"/>
      <c r="B20" s="11">
        <f>WEEKNUM(Tabelle35108213[[#This Row],[Datum]])-1</f>
        <v>42</v>
      </c>
      <c r="C20" s="6">
        <v>42663</v>
      </c>
      <c r="D20" s="3" t="s">
        <v>15</v>
      </c>
      <c r="E20">
        <v>2</v>
      </c>
      <c r="F20" t="s">
        <v>48</v>
      </c>
    </row>
    <row r="21" spans="1:6" x14ac:dyDescent="0.25">
      <c r="A21" s="1"/>
      <c r="B21" s="11">
        <f>WEEKNUM(Tabelle35108213[[#This Row],[Datum]])-1</f>
        <v>42</v>
      </c>
      <c r="C21" s="6">
        <v>42663</v>
      </c>
      <c r="D21" s="3" t="s">
        <v>34</v>
      </c>
      <c r="E21">
        <v>2.5</v>
      </c>
      <c r="F21" t="s">
        <v>46</v>
      </c>
    </row>
    <row r="22" spans="1:6" ht="30" x14ac:dyDescent="0.25">
      <c r="A22" s="1"/>
      <c r="B22" s="11">
        <f>WEEKNUM(Tabelle35108213[[#This Row],[Datum]])-1</f>
        <v>43</v>
      </c>
      <c r="C22" s="6">
        <v>42669</v>
      </c>
      <c r="D22" s="3" t="s">
        <v>39</v>
      </c>
      <c r="E22">
        <v>16</v>
      </c>
      <c r="F22" t="s">
        <v>45</v>
      </c>
    </row>
    <row r="23" spans="1:6" x14ac:dyDescent="0.25">
      <c r="A23" s="1"/>
      <c r="B23" s="11">
        <f>WEEKNUM(Tabelle35108213[[#This Row],[Datum]])-1</f>
        <v>43</v>
      </c>
      <c r="C23" s="6">
        <v>42670</v>
      </c>
      <c r="D23" s="3" t="s">
        <v>40</v>
      </c>
      <c r="E23">
        <v>3</v>
      </c>
      <c r="F23" t="s">
        <v>48</v>
      </c>
    </row>
    <row r="24" spans="1:6" x14ac:dyDescent="0.25">
      <c r="A24" s="1"/>
      <c r="B24" s="11">
        <f>WEEKNUM(Tabelle35108213[[#This Row],[Datum]])-1</f>
        <v>43</v>
      </c>
      <c r="C24" s="6">
        <v>42671</v>
      </c>
      <c r="D24" s="3" t="s">
        <v>26</v>
      </c>
      <c r="E24">
        <v>2</v>
      </c>
      <c r="F24" t="s">
        <v>47</v>
      </c>
    </row>
    <row r="25" spans="1:6" x14ac:dyDescent="0.25">
      <c r="A25" s="1"/>
      <c r="B25" s="11">
        <f>WEEKNUM(Tabelle35108213[[#This Row],[Datum]])-1</f>
        <v>43</v>
      </c>
      <c r="C25" s="6">
        <v>42672</v>
      </c>
      <c r="D25" s="3" t="s">
        <v>33</v>
      </c>
      <c r="E25">
        <v>2</v>
      </c>
      <c r="F25" t="s">
        <v>46</v>
      </c>
    </row>
    <row r="26" spans="1:6" x14ac:dyDescent="0.25">
      <c r="A26" s="1"/>
      <c r="B26" s="11">
        <f>WEEKNUM(Tabelle35108213[[#This Row],[Datum]])-1</f>
        <v>44</v>
      </c>
      <c r="C26" s="6">
        <v>42674</v>
      </c>
      <c r="D26" s="3" t="s">
        <v>16</v>
      </c>
      <c r="E26">
        <v>2</v>
      </c>
      <c r="F26" t="s">
        <v>48</v>
      </c>
    </row>
    <row r="27" spans="1:6" x14ac:dyDescent="0.25">
      <c r="A27" s="1"/>
      <c r="B27" s="11">
        <f>WEEKNUM(Tabelle35108213[[#This Row],[Datum]])-1</f>
        <v>44</v>
      </c>
      <c r="C27" s="6">
        <v>42676</v>
      </c>
      <c r="D27" s="3" t="s">
        <v>27</v>
      </c>
      <c r="E27">
        <v>16</v>
      </c>
      <c r="F27" t="s">
        <v>45</v>
      </c>
    </row>
    <row r="28" spans="1:6" x14ac:dyDescent="0.25">
      <c r="A28" s="1"/>
      <c r="B28" s="11">
        <f>WEEKNUM(Tabelle35108213[[#This Row],[Datum]])-1</f>
        <v>44</v>
      </c>
      <c r="C28" s="6">
        <v>42679</v>
      </c>
      <c r="D28" s="3" t="s">
        <v>28</v>
      </c>
      <c r="E28">
        <v>7</v>
      </c>
      <c r="F28" t="s">
        <v>47</v>
      </c>
    </row>
    <row r="29" spans="1:6" x14ac:dyDescent="0.25">
      <c r="A29" s="1"/>
      <c r="B29" s="11">
        <f>WEEKNUM(Tabelle35108213[[#This Row],[Datum]])-1</f>
        <v>44</v>
      </c>
      <c r="C29" s="6">
        <v>42679</v>
      </c>
      <c r="D29" s="3" t="s">
        <v>41</v>
      </c>
      <c r="E29">
        <v>5</v>
      </c>
      <c r="F29" t="s">
        <v>48</v>
      </c>
    </row>
    <row r="30" spans="1:6" x14ac:dyDescent="0.25">
      <c r="A30" s="1"/>
      <c r="B30" s="11">
        <f>WEEKNUM(Tabelle35108213[[#This Row],[Datum]])-1</f>
        <v>45</v>
      </c>
      <c r="C30" s="6">
        <v>42680</v>
      </c>
      <c r="D30" s="3" t="s">
        <v>32</v>
      </c>
      <c r="E30">
        <v>2.5</v>
      </c>
      <c r="F30" t="s">
        <v>46</v>
      </c>
    </row>
    <row r="31" spans="1:6" x14ac:dyDescent="0.25">
      <c r="A31" s="1"/>
      <c r="B31" s="11">
        <f>WEEKNUM(Tabelle35108213[[#This Row],[Datum]])-1</f>
        <v>45</v>
      </c>
      <c r="C31" s="6">
        <v>42681</v>
      </c>
      <c r="D31" s="3" t="s">
        <v>36</v>
      </c>
      <c r="E31">
        <v>1</v>
      </c>
      <c r="F31" t="s">
        <v>46</v>
      </c>
    </row>
    <row r="32" spans="1:6" x14ac:dyDescent="0.25">
      <c r="A32" s="1"/>
      <c r="B32" s="11">
        <f>WEEKNUM(Tabelle35108213[[#This Row],[Datum]])-1</f>
        <v>45</v>
      </c>
      <c r="C32" s="6">
        <v>42683</v>
      </c>
      <c r="D32" s="3" t="s">
        <v>29</v>
      </c>
      <c r="E32">
        <v>16</v>
      </c>
      <c r="F32" t="s">
        <v>45</v>
      </c>
    </row>
    <row r="33" spans="1:6" x14ac:dyDescent="0.25">
      <c r="A33" s="1"/>
      <c r="B33" s="11">
        <f>WEEKNUM(Tabelle35108213[[#This Row],[Datum]])-1</f>
        <v>46</v>
      </c>
      <c r="C33" s="6">
        <v>42690</v>
      </c>
      <c r="D33" s="3" t="s">
        <v>30</v>
      </c>
      <c r="E33">
        <v>8</v>
      </c>
      <c r="F33" t="s">
        <v>45</v>
      </c>
    </row>
    <row r="34" spans="1:6" x14ac:dyDescent="0.25">
      <c r="A34" s="1"/>
      <c r="B34" s="11">
        <f>WEEKNUM(Tabelle35108213[[#This Row],[Datum]])-1</f>
        <v>46</v>
      </c>
      <c r="C34" s="6">
        <v>42690</v>
      </c>
      <c r="D34" s="3" t="s">
        <v>31</v>
      </c>
      <c r="E34">
        <v>16</v>
      </c>
      <c r="F34" t="s">
        <v>45</v>
      </c>
    </row>
    <row r="35" spans="1:6" x14ac:dyDescent="0.25">
      <c r="A35" s="1"/>
      <c r="B35" s="11">
        <f>WEEKNUM(Tabelle35108213[[#This Row],[Datum]])-1</f>
        <v>46</v>
      </c>
      <c r="C35" s="6">
        <v>42690</v>
      </c>
      <c r="D35" s="3" t="s">
        <v>42</v>
      </c>
      <c r="E35">
        <v>1</v>
      </c>
      <c r="F35" t="s">
        <v>48</v>
      </c>
    </row>
    <row r="36" spans="1:6" x14ac:dyDescent="0.25">
      <c r="A36" s="1"/>
      <c r="B36" s="11">
        <f>WEEKNUM(Tabelle35108213[[#This Row],[Datum]])-1</f>
        <v>-1</v>
      </c>
      <c r="C36" s="6"/>
      <c r="D36" s="3"/>
    </row>
    <row r="37" spans="1:6" x14ac:dyDescent="0.25">
      <c r="A37" s="1"/>
      <c r="B37" s="11">
        <f>WEEKNUM(Tabelle35108213[[#This Row],[Datum]])-1</f>
        <v>-1</v>
      </c>
      <c r="C37" s="6"/>
      <c r="D37" s="3"/>
    </row>
    <row r="38" spans="1:6" x14ac:dyDescent="0.25">
      <c r="A38" s="1"/>
      <c r="B38" s="11">
        <f>WEEKNUM(Tabelle35108213[[#This Row],[Datum]])-1</f>
        <v>-1</v>
      </c>
      <c r="C38" s="6"/>
      <c r="D38" s="3"/>
    </row>
    <row r="39" spans="1:6" x14ac:dyDescent="0.25">
      <c r="A39" s="1"/>
      <c r="B39" s="11">
        <f>WEEKNUM(Tabelle35108213[[#This Row],[Datum]])-1</f>
        <v>-1</v>
      </c>
      <c r="C39" s="6"/>
      <c r="D39" s="3"/>
    </row>
    <row r="40" spans="1:6" x14ac:dyDescent="0.25">
      <c r="A40" s="1"/>
      <c r="B40" s="11">
        <f>WEEKNUM(Tabelle35108213[[#This Row],[Datum]])-1</f>
        <v>-1</v>
      </c>
      <c r="C40" s="6"/>
      <c r="D40" s="3"/>
    </row>
    <row r="41" spans="1:6" x14ac:dyDescent="0.25">
      <c r="A41" s="1"/>
      <c r="B41" s="11">
        <f>WEEKNUM(Tabelle35108213[[#This Row],[Datum]])-1</f>
        <v>-1</v>
      </c>
      <c r="C41" s="6"/>
      <c r="D41" s="3"/>
    </row>
    <row r="42" spans="1:6" x14ac:dyDescent="0.25">
      <c r="A42" s="1"/>
      <c r="B42" s="11">
        <f>WEEKNUM(Tabelle35108213[[#This Row],[Datum]])-1</f>
        <v>-1</v>
      </c>
      <c r="C42" s="6"/>
      <c r="D42" s="3"/>
    </row>
    <row r="43" spans="1:6" x14ac:dyDescent="0.25">
      <c r="A43" s="1"/>
      <c r="B43" s="11">
        <f>WEEKNUM(Tabelle35108213[[#This Row],[Datum]])-1</f>
        <v>-1</v>
      </c>
      <c r="C43" s="6"/>
      <c r="D43" s="3"/>
    </row>
    <row r="44" spans="1:6" x14ac:dyDescent="0.25">
      <c r="A44" s="1"/>
      <c r="B44" s="11">
        <f>WEEKNUM(Tabelle35108213[[#This Row],[Datum]])-1</f>
        <v>-1</v>
      </c>
      <c r="C44" s="6"/>
      <c r="D44" s="3"/>
    </row>
    <row r="45" spans="1:6" x14ac:dyDescent="0.25">
      <c r="A45" s="1"/>
      <c r="B45" s="11">
        <f>WEEKNUM(Tabelle35108213[[#This Row],[Datum]])-1</f>
        <v>-1</v>
      </c>
      <c r="C45" s="6"/>
      <c r="D45" s="3"/>
    </row>
    <row r="46" spans="1:6" x14ac:dyDescent="0.25">
      <c r="A46" s="1"/>
      <c r="B46" s="11">
        <f>WEEKNUM(Tabelle35108213[[#This Row],[Datum]])-1</f>
        <v>-1</v>
      </c>
      <c r="C46" s="6"/>
      <c r="D46" s="3"/>
    </row>
    <row r="47" spans="1:6" x14ac:dyDescent="0.25">
      <c r="A47" s="1"/>
      <c r="B47" s="11">
        <f>WEEKNUM(Tabelle35108213[[#This Row],[Datum]])-1</f>
        <v>-1</v>
      </c>
      <c r="C47" s="6"/>
      <c r="D47" s="3"/>
    </row>
    <row r="48" spans="1:6" x14ac:dyDescent="0.25">
      <c r="A48" s="1"/>
      <c r="B48" s="11">
        <f>WEEKNUM(Tabelle35108213[[#This Row],[Datum]])-1</f>
        <v>-1</v>
      </c>
      <c r="C48" s="6"/>
      <c r="D48" s="3"/>
    </row>
    <row r="49" spans="1:4" x14ac:dyDescent="0.25">
      <c r="A49" s="1"/>
      <c r="B49" s="11">
        <f>WEEKNUM(Tabelle35108213[[#This Row],[Datum]])-1</f>
        <v>-1</v>
      </c>
      <c r="C49" s="6"/>
      <c r="D49" s="3"/>
    </row>
    <row r="50" spans="1:4" x14ac:dyDescent="0.25">
      <c r="A50" s="1"/>
      <c r="B50" s="11">
        <f>WEEKNUM(Tabelle35108213[[#This Row],[Datum]])-1</f>
        <v>-1</v>
      </c>
      <c r="C50" s="6"/>
      <c r="D50" s="3"/>
    </row>
    <row r="51" spans="1:4" x14ac:dyDescent="0.25">
      <c r="A51" s="1"/>
      <c r="B51" s="11">
        <f>WEEKNUM(Tabelle35108213[[#This Row],[Datum]])-1</f>
        <v>-1</v>
      </c>
      <c r="C51" s="6"/>
      <c r="D51" s="3"/>
    </row>
    <row r="52" spans="1:4" x14ac:dyDescent="0.25">
      <c r="A52" s="1"/>
      <c r="B52" s="11">
        <f>WEEKNUM(Tabelle35108213[[#This Row],[Datum]])-1</f>
        <v>-1</v>
      </c>
      <c r="C52" s="6"/>
      <c r="D52" s="3"/>
    </row>
    <row r="53" spans="1:4" x14ac:dyDescent="0.25">
      <c r="A53" s="1"/>
      <c r="B53" s="11">
        <f>WEEKNUM(Tabelle35108213[[#This Row],[Datum]])-1</f>
        <v>-1</v>
      </c>
      <c r="C53" s="6"/>
      <c r="D53" s="3"/>
    </row>
    <row r="54" spans="1:4" x14ac:dyDescent="0.25">
      <c r="A54" s="1"/>
      <c r="B54" s="11">
        <f>WEEKNUM(Tabelle35108213[[#This Row],[Datum]])-1</f>
        <v>-1</v>
      </c>
      <c r="C54" s="6"/>
      <c r="D54" s="3"/>
    </row>
    <row r="55" spans="1:4" x14ac:dyDescent="0.25">
      <c r="A55" s="1"/>
      <c r="B55" s="11">
        <f>WEEKNUM(Tabelle35108213[[#This Row],[Datum]])-1</f>
        <v>-1</v>
      </c>
      <c r="C55" s="6"/>
      <c r="D55" s="3"/>
    </row>
    <row r="56" spans="1:4" x14ac:dyDescent="0.25">
      <c r="A56" s="1"/>
      <c r="B56" s="11">
        <f>WEEKNUM(Tabelle35108213[[#This Row],[Datum]])-1</f>
        <v>-1</v>
      </c>
      <c r="C56" s="6"/>
      <c r="D56" s="3"/>
    </row>
    <row r="57" spans="1:4" x14ac:dyDescent="0.25">
      <c r="A57" s="1"/>
      <c r="B57" s="11">
        <f>WEEKNUM(Tabelle35108213[[#This Row],[Datum]])-1</f>
        <v>-1</v>
      </c>
      <c r="C57" s="6"/>
      <c r="D57" s="3"/>
    </row>
    <row r="58" spans="1:4" x14ac:dyDescent="0.25">
      <c r="A58" s="1"/>
      <c r="B58" s="11">
        <f>WEEKNUM(Tabelle35108213[[#This Row],[Datum]])-1</f>
        <v>-1</v>
      </c>
      <c r="C58" s="6"/>
      <c r="D58" s="3"/>
    </row>
    <row r="59" spans="1:4" x14ac:dyDescent="0.25">
      <c r="A59" s="1"/>
      <c r="B59" s="11">
        <f>WEEKNUM(Tabelle35108213[[#This Row],[Datum]])-1</f>
        <v>-1</v>
      </c>
      <c r="C59" s="6"/>
      <c r="D59" s="3"/>
    </row>
    <row r="60" spans="1:4" x14ac:dyDescent="0.25">
      <c r="A60" s="1"/>
      <c r="B60" s="11">
        <f>WEEKNUM(Tabelle35108213[[#This Row],[Datum]])-1</f>
        <v>-1</v>
      </c>
      <c r="C60" s="6"/>
      <c r="D60" s="3"/>
    </row>
    <row r="61" spans="1:4" x14ac:dyDescent="0.25">
      <c r="A61" s="1"/>
      <c r="B61" s="11">
        <f>WEEKNUM(Tabelle35108213[[#This Row],[Datum]])-1</f>
        <v>-1</v>
      </c>
      <c r="C61" s="6"/>
      <c r="D61" s="3"/>
    </row>
    <row r="62" spans="1:4" x14ac:dyDescent="0.25">
      <c r="A62" s="1"/>
      <c r="B62" s="11">
        <f>WEEKNUM(Tabelle35108213[[#This Row],[Datum]])-1</f>
        <v>-1</v>
      </c>
      <c r="C62" s="6"/>
      <c r="D62" s="3"/>
    </row>
    <row r="63" spans="1:4" x14ac:dyDescent="0.25">
      <c r="A63" s="1"/>
      <c r="B63" s="11">
        <f>WEEKNUM(Tabelle35108213[[#This Row],[Datum]])-1</f>
        <v>-1</v>
      </c>
      <c r="C63" s="6"/>
      <c r="D63" s="3"/>
    </row>
    <row r="64" spans="1:4" x14ac:dyDescent="0.25">
      <c r="A64" s="1"/>
      <c r="B64" s="11">
        <f>WEEKNUM(Tabelle35108213[[#This Row],[Datum]])-1</f>
        <v>-1</v>
      </c>
      <c r="C64" s="6"/>
      <c r="D64" s="3"/>
    </row>
    <row r="65" spans="1:4" x14ac:dyDescent="0.25">
      <c r="A65" s="1"/>
      <c r="B65" s="11">
        <f>WEEKNUM(Tabelle35108213[[#This Row],[Datum]])-1</f>
        <v>-1</v>
      </c>
      <c r="C65" s="6"/>
      <c r="D65" s="3"/>
    </row>
    <row r="66" spans="1:4" x14ac:dyDescent="0.25">
      <c r="A66" s="1"/>
      <c r="B66" s="11">
        <f>WEEKNUM(Tabelle35108213[[#This Row],[Datum]])-1</f>
        <v>-1</v>
      </c>
      <c r="C66" s="6"/>
      <c r="D66" s="3"/>
    </row>
    <row r="67" spans="1:4" x14ac:dyDescent="0.25">
      <c r="A67" s="1"/>
      <c r="B67" s="11">
        <f>WEEKNUM(Tabelle35108213[[#This Row],[Datum]])-1</f>
        <v>-1</v>
      </c>
      <c r="C67" s="6"/>
      <c r="D67" s="3"/>
    </row>
    <row r="68" spans="1:4" x14ac:dyDescent="0.25">
      <c r="A68" s="1"/>
      <c r="B68" s="11">
        <f>WEEKNUM(Tabelle35108213[[#This Row],[Datum]])-1</f>
        <v>-1</v>
      </c>
      <c r="C68" s="6"/>
      <c r="D68" s="3"/>
    </row>
    <row r="69" spans="1:4" x14ac:dyDescent="0.25">
      <c r="A69" s="1"/>
      <c r="B69" s="11">
        <f>WEEKNUM(Tabelle35108213[[#This Row],[Datum]])-1</f>
        <v>-1</v>
      </c>
      <c r="C69" s="6"/>
      <c r="D69" s="3"/>
    </row>
    <row r="70" spans="1:4" x14ac:dyDescent="0.25">
      <c r="A70" s="1"/>
      <c r="B70" s="11">
        <f>WEEKNUM(Tabelle35108213[[#This Row],[Datum]])-1</f>
        <v>-1</v>
      </c>
      <c r="C70" s="6"/>
      <c r="D70" s="3"/>
    </row>
    <row r="71" spans="1:4" x14ac:dyDescent="0.25">
      <c r="A71" s="1"/>
      <c r="B71" s="11">
        <f>WEEKNUM(Tabelle35108213[[#This Row],[Datum]])-1</f>
        <v>-1</v>
      </c>
      <c r="C71" s="6"/>
      <c r="D71" s="3"/>
    </row>
    <row r="72" spans="1:4" x14ac:dyDescent="0.25">
      <c r="A72" s="1"/>
      <c r="B72" s="11">
        <f>WEEKNUM(Tabelle35108213[[#This Row],[Datum]])-1</f>
        <v>-1</v>
      </c>
      <c r="C72" s="6"/>
      <c r="D72" s="3"/>
    </row>
    <row r="73" spans="1:4" x14ac:dyDescent="0.25">
      <c r="A73" s="1"/>
      <c r="B73" s="11">
        <f>WEEKNUM(Tabelle35108213[[#This Row],[Datum]])-1</f>
        <v>-1</v>
      </c>
      <c r="C73" s="6"/>
      <c r="D73" s="3"/>
    </row>
    <row r="74" spans="1:4" x14ac:dyDescent="0.25">
      <c r="A74" s="1"/>
      <c r="B74" s="11">
        <f>WEEKNUM(Tabelle35108213[[#This Row],[Datum]])-1</f>
        <v>-1</v>
      </c>
      <c r="C74" s="6"/>
      <c r="D74" s="3"/>
    </row>
    <row r="75" spans="1:4" x14ac:dyDescent="0.25">
      <c r="A75" s="1"/>
      <c r="B75" s="11">
        <f>WEEKNUM(Tabelle35108213[[#This Row],[Datum]])-1</f>
        <v>-1</v>
      </c>
      <c r="C75" s="6"/>
      <c r="D75" s="3"/>
    </row>
    <row r="76" spans="1:4" x14ac:dyDescent="0.25">
      <c r="A76" s="1"/>
      <c r="B76" s="11">
        <f>WEEKNUM(Tabelle35108213[[#This Row],[Datum]])-1</f>
        <v>-1</v>
      </c>
      <c r="C76" s="6"/>
      <c r="D76" s="3"/>
    </row>
    <row r="77" spans="1:4" x14ac:dyDescent="0.25">
      <c r="A77" s="1"/>
      <c r="B77" s="11">
        <f>WEEKNUM(Tabelle35108213[[#This Row],[Datum]])-1</f>
        <v>-1</v>
      </c>
      <c r="C77" s="6"/>
      <c r="D77" s="3"/>
    </row>
    <row r="78" spans="1:4" x14ac:dyDescent="0.25">
      <c r="A78" s="1"/>
      <c r="B78" s="11">
        <f>WEEKNUM(Tabelle35108213[[#This Row],[Datum]])-1</f>
        <v>-1</v>
      </c>
      <c r="C78" s="6"/>
      <c r="D78" s="3"/>
    </row>
    <row r="79" spans="1:4" x14ac:dyDescent="0.25">
      <c r="A79" s="1"/>
      <c r="B79" s="11">
        <f>WEEKNUM(Tabelle35108213[[#This Row],[Datum]])-1</f>
        <v>-1</v>
      </c>
      <c r="C79" s="6"/>
      <c r="D79" s="3"/>
    </row>
    <row r="80" spans="1:4" x14ac:dyDescent="0.25">
      <c r="A80" s="1"/>
      <c r="B80" s="11">
        <f>WEEKNUM(Tabelle35108213[[#This Row],[Datum]])-1</f>
        <v>-1</v>
      </c>
      <c r="C80" s="6"/>
      <c r="D80" s="3"/>
    </row>
    <row r="81" spans="1:4" x14ac:dyDescent="0.25">
      <c r="A81" s="1"/>
      <c r="B81" s="11">
        <f>WEEKNUM(Tabelle35108213[[#This Row],[Datum]])-1</f>
        <v>-1</v>
      </c>
      <c r="C81" s="6"/>
      <c r="D81" s="3"/>
    </row>
    <row r="82" spans="1:4" x14ac:dyDescent="0.25">
      <c r="A82" s="1"/>
      <c r="B82" s="11">
        <f>WEEKNUM(Tabelle35108213[[#This Row],[Datum]])-1</f>
        <v>-1</v>
      </c>
      <c r="C82" s="6"/>
      <c r="D82" s="3"/>
    </row>
    <row r="83" spans="1:4" x14ac:dyDescent="0.25">
      <c r="A83" s="1"/>
      <c r="B83" s="11">
        <f>WEEKNUM(Tabelle35108213[[#This Row],[Datum]])-1</f>
        <v>-1</v>
      </c>
      <c r="C83" s="6"/>
      <c r="D83" s="3"/>
    </row>
    <row r="84" spans="1:4" x14ac:dyDescent="0.25">
      <c r="A84" s="1"/>
      <c r="B84" s="11">
        <f>WEEKNUM(Tabelle35108213[[#This Row],[Datum]])-1</f>
        <v>-1</v>
      </c>
      <c r="C84" s="6"/>
      <c r="D84" s="3"/>
    </row>
    <row r="85" spans="1:4" x14ac:dyDescent="0.25">
      <c r="A85" s="1"/>
      <c r="B85" s="11">
        <f>WEEKNUM(Tabelle35108213[[#This Row],[Datum]])-1</f>
        <v>-1</v>
      </c>
      <c r="C85" s="6"/>
      <c r="D85" s="3"/>
    </row>
    <row r="86" spans="1:4" x14ac:dyDescent="0.25">
      <c r="A86" s="1"/>
      <c r="B86" s="11">
        <f>WEEKNUM(Tabelle35108213[[#This Row],[Datum]])-1</f>
        <v>-1</v>
      </c>
      <c r="C86" s="6"/>
      <c r="D86" s="3"/>
    </row>
    <row r="87" spans="1:4" x14ac:dyDescent="0.25">
      <c r="A87" s="1"/>
      <c r="B87" s="11">
        <f>WEEKNUM(Tabelle35108213[[#This Row],[Datum]])-1</f>
        <v>-1</v>
      </c>
      <c r="C87" s="6"/>
      <c r="D87" s="3"/>
    </row>
    <row r="88" spans="1:4" x14ac:dyDescent="0.25">
      <c r="A88" s="1"/>
      <c r="B88" s="11">
        <f>WEEKNUM(Tabelle35108213[[#This Row],[Datum]])-1</f>
        <v>-1</v>
      </c>
      <c r="C88" s="6"/>
      <c r="D88" s="3"/>
    </row>
    <row r="89" spans="1:4" x14ac:dyDescent="0.25">
      <c r="A89" s="1"/>
      <c r="B89" s="11">
        <f>WEEKNUM(Tabelle35108213[[#This Row],[Datum]])-1</f>
        <v>-1</v>
      </c>
      <c r="C89" s="6"/>
      <c r="D89" s="3"/>
    </row>
    <row r="90" spans="1:4" x14ac:dyDescent="0.25">
      <c r="A90" s="1"/>
      <c r="B90" s="11">
        <f>WEEKNUM(Tabelle35108213[[#This Row],[Datum]])-1</f>
        <v>-1</v>
      </c>
      <c r="C90" s="6"/>
      <c r="D90" s="3"/>
    </row>
    <row r="91" spans="1:4" x14ac:dyDescent="0.25">
      <c r="A91" s="1"/>
      <c r="B91" s="11">
        <f>WEEKNUM(Tabelle35108213[[#This Row],[Datum]])-1</f>
        <v>-1</v>
      </c>
      <c r="C91" s="6"/>
      <c r="D91" s="3"/>
    </row>
    <row r="92" spans="1:4" x14ac:dyDescent="0.25">
      <c r="A92" s="1"/>
      <c r="B92" s="11">
        <f>WEEKNUM(Tabelle35108213[[#This Row],[Datum]])-1</f>
        <v>-1</v>
      </c>
      <c r="C92" s="6"/>
      <c r="D92" s="3"/>
    </row>
    <row r="93" spans="1:4" x14ac:dyDescent="0.25">
      <c r="A93" s="1"/>
      <c r="B93" s="11">
        <f>WEEKNUM(Tabelle35108213[[#This Row],[Datum]])-1</f>
        <v>-1</v>
      </c>
      <c r="C93" s="6"/>
      <c r="D93" s="3"/>
    </row>
    <row r="94" spans="1:4" x14ac:dyDescent="0.25">
      <c r="A94" s="1"/>
      <c r="B94" s="11">
        <f>WEEKNUM(Tabelle35108213[[#This Row],[Datum]])-1</f>
        <v>-1</v>
      </c>
      <c r="C94" s="6"/>
      <c r="D94" s="3"/>
    </row>
    <row r="95" spans="1:4" x14ac:dyDescent="0.25">
      <c r="A95" s="1"/>
      <c r="B95" s="11">
        <f>WEEKNUM(Tabelle35108213[[#This Row],[Datum]])-1</f>
        <v>-1</v>
      </c>
      <c r="C95" s="6"/>
      <c r="D95" s="3"/>
    </row>
    <row r="96" spans="1:4" x14ac:dyDescent="0.25">
      <c r="A96" s="1"/>
      <c r="B96" s="11">
        <f>WEEKNUM(Tabelle35108213[[#This Row],[Datum]])-1</f>
        <v>-1</v>
      </c>
      <c r="C96" s="6"/>
      <c r="D96" s="3"/>
    </row>
    <row r="97" spans="1:5" x14ac:dyDescent="0.25">
      <c r="A97" s="1"/>
      <c r="B97" s="11">
        <f>WEEKNUM(Tabelle35108213[[#This Row],[Datum]])-1</f>
        <v>-1</v>
      </c>
      <c r="C97" s="6"/>
      <c r="D97" s="3"/>
    </row>
    <row r="98" spans="1:5" x14ac:dyDescent="0.25">
      <c r="A98" s="1"/>
      <c r="B98" s="11">
        <f>WEEKNUM(Tabelle35108213[[#This Row],[Datum]])-1</f>
        <v>-1</v>
      </c>
      <c r="C98" s="6"/>
      <c r="D98" s="3"/>
    </row>
    <row r="99" spans="1:5" x14ac:dyDescent="0.25">
      <c r="A99" s="1"/>
      <c r="B99" s="11">
        <f>WEEKNUM(Tabelle35108213[[#This Row],[Datum]])-1</f>
        <v>-1</v>
      </c>
      <c r="C99" s="6"/>
      <c r="D99" s="3"/>
    </row>
    <row r="100" spans="1:5" x14ac:dyDescent="0.25">
      <c r="A100" s="1"/>
      <c r="B100" s="11">
        <f>WEEKNUM(Tabelle35108213[[#This Row],[Datum]])-1</f>
        <v>-1</v>
      </c>
      <c r="C100" s="6"/>
      <c r="D100" s="3"/>
    </row>
    <row r="101" spans="1:5" x14ac:dyDescent="0.25">
      <c r="A101" s="1"/>
      <c r="B101" s="11">
        <f>WEEKNUM(Tabelle35108213[[#This Row],[Datum]])-1</f>
        <v>-1</v>
      </c>
      <c r="C101" s="6"/>
      <c r="D101" s="3"/>
    </row>
    <row r="102" spans="1:5" x14ac:dyDescent="0.25">
      <c r="A102" s="1"/>
      <c r="B102" s="11">
        <f>WEEKNUM(Tabelle35108213[[#This Row],[Datum]])-1</f>
        <v>-1</v>
      </c>
      <c r="C102" s="6"/>
      <c r="D102" s="3"/>
    </row>
    <row r="103" spans="1:5" x14ac:dyDescent="0.25">
      <c r="A103" s="1"/>
      <c r="B103" s="13"/>
      <c r="C103" s="8" t="s">
        <v>0</v>
      </c>
      <c r="D103" s="3"/>
      <c r="E103">
        <f>SUBTOTAL(109,Tabelle35108213[Aufwand
(in h)])</f>
        <v>205</v>
      </c>
    </row>
  </sheetData>
  <pageMargins left="0.7" right="0.7" top="0.78740157499999996" bottom="0.78740157499999996" header="0.3" footer="0.3"/>
  <pageSetup paperSize="9" orientation="landscape" r:id="rId1"/>
  <tableParts count="2">
    <tablePart r:id="rId2"/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/>
  </sheetPr>
  <dimension ref="A1:E92"/>
  <sheetViews>
    <sheetView topLeftCell="A4" zoomScale="90" zoomScaleNormal="90" workbookViewId="0">
      <selection activeCell="C25" sqref="C25"/>
    </sheetView>
  </sheetViews>
  <sheetFormatPr baseColWidth="10" defaultColWidth="11.42578125" defaultRowHeight="15" x14ac:dyDescent="0.25"/>
  <cols>
    <col min="1" max="1" width="18.28515625" style="1" customWidth="1"/>
    <col min="2" max="2" width="19.28515625" style="1" customWidth="1"/>
    <col min="3" max="3" width="14.5703125" style="6" customWidth="1"/>
    <col min="4" max="4" width="36.5703125" style="3" customWidth="1"/>
    <col min="5" max="5" width="8.7109375" customWidth="1"/>
  </cols>
  <sheetData>
    <row r="1" spans="1:5" ht="26.25" x14ac:dyDescent="0.4">
      <c r="A1" s="9" t="s">
        <v>7</v>
      </c>
      <c r="B1" s="2"/>
      <c r="D1" s="10"/>
    </row>
    <row r="2" spans="1:5" x14ac:dyDescent="0.25">
      <c r="A2" t="s">
        <v>5</v>
      </c>
      <c r="B2" t="s">
        <v>6</v>
      </c>
    </row>
    <row r="3" spans="1:5" x14ac:dyDescent="0.25">
      <c r="A3" s="1" t="str">
        <f>B6</f>
        <v>Fabian Kammermann</v>
      </c>
      <c r="B3">
        <f>Tabelle3510813[[#Totals],[Aufwand
(in h)]]</f>
        <v>55.5</v>
      </c>
      <c r="D3" s="6"/>
    </row>
    <row r="6" spans="1:5" x14ac:dyDescent="0.25">
      <c r="B6" s="16" t="s">
        <v>9</v>
      </c>
      <c r="C6" s="3"/>
      <c r="D6"/>
    </row>
    <row r="7" spans="1:5" ht="45" x14ac:dyDescent="0.25">
      <c r="A7" s="4"/>
      <c r="B7" s="12" t="s">
        <v>8</v>
      </c>
      <c r="C7" s="7" t="s">
        <v>2</v>
      </c>
      <c r="D7" s="5" t="s">
        <v>3</v>
      </c>
      <c r="E7" s="5" t="s">
        <v>4</v>
      </c>
    </row>
    <row r="8" spans="1:5" ht="30" x14ac:dyDescent="0.25">
      <c r="B8" s="11">
        <f>WEEKNUM(Tabelle3510813[[#This Row],[Datum]])-1</f>
        <v>38</v>
      </c>
      <c r="C8" s="6">
        <v>42634</v>
      </c>
      <c r="D8" s="3" t="s">
        <v>17</v>
      </c>
      <c r="E8">
        <v>4</v>
      </c>
    </row>
    <row r="9" spans="1:5" ht="30" x14ac:dyDescent="0.25">
      <c r="B9" s="11">
        <f>WEEKNUM(Tabelle3510813[[#This Row],[Datum]])-1</f>
        <v>39</v>
      </c>
      <c r="C9" s="7">
        <v>42641</v>
      </c>
      <c r="D9" s="5" t="s">
        <v>18</v>
      </c>
      <c r="E9" s="5">
        <v>4</v>
      </c>
    </row>
    <row r="10" spans="1:5" x14ac:dyDescent="0.25">
      <c r="B10" s="11">
        <f>WEEKNUM(Tabelle3510813[[#This Row],[Datum]])-1</f>
        <v>40</v>
      </c>
      <c r="C10" s="6">
        <v>42647</v>
      </c>
      <c r="D10" s="3" t="s">
        <v>20</v>
      </c>
      <c r="E10">
        <v>2.5</v>
      </c>
    </row>
    <row r="11" spans="1:5" ht="30" x14ac:dyDescent="0.25">
      <c r="B11" s="11">
        <f>WEEKNUM(Tabelle3510813[[#This Row],[Datum]])-1</f>
        <v>40</v>
      </c>
      <c r="C11" s="6">
        <v>42648</v>
      </c>
      <c r="D11" s="3" t="s">
        <v>19</v>
      </c>
      <c r="E11">
        <v>4</v>
      </c>
    </row>
    <row r="12" spans="1:5" x14ac:dyDescent="0.25">
      <c r="B12" s="11">
        <f>WEEKNUM(Tabelle3510813[[#This Row],[Datum]])-1</f>
        <v>40</v>
      </c>
      <c r="C12" s="6">
        <v>42650</v>
      </c>
      <c r="D12" s="3" t="s">
        <v>36</v>
      </c>
      <c r="E12">
        <v>1</v>
      </c>
    </row>
    <row r="13" spans="1:5" ht="30" x14ac:dyDescent="0.25">
      <c r="B13" s="11">
        <f>WEEKNUM(Tabelle3510813[[#This Row],[Datum]])-1</f>
        <v>41</v>
      </c>
      <c r="C13" s="6">
        <v>42655</v>
      </c>
      <c r="D13" s="3" t="s">
        <v>21</v>
      </c>
      <c r="E13">
        <v>4</v>
      </c>
    </row>
    <row r="14" spans="1:5" ht="30" x14ac:dyDescent="0.25">
      <c r="B14" s="11">
        <f>WEEKNUM(Tabelle3510813[[#This Row],[Datum]])-1</f>
        <v>42</v>
      </c>
      <c r="C14" s="6">
        <v>42662</v>
      </c>
      <c r="D14" s="3" t="s">
        <v>23</v>
      </c>
      <c r="E14">
        <v>4</v>
      </c>
    </row>
    <row r="15" spans="1:5" x14ac:dyDescent="0.25">
      <c r="B15" s="11">
        <f>WEEKNUM(Tabelle3510813[[#This Row],[Datum]])-1</f>
        <v>42</v>
      </c>
      <c r="C15" s="6">
        <v>42663</v>
      </c>
      <c r="D15" s="3" t="s">
        <v>34</v>
      </c>
      <c r="E15">
        <v>2.5</v>
      </c>
    </row>
    <row r="16" spans="1:5" ht="30" x14ac:dyDescent="0.25">
      <c r="B16" s="11">
        <f>WEEKNUM(Tabelle3510813[[#This Row],[Datum]])-1</f>
        <v>43</v>
      </c>
      <c r="C16" s="6">
        <v>42669</v>
      </c>
      <c r="D16" s="3" t="s">
        <v>25</v>
      </c>
      <c r="E16">
        <v>4</v>
      </c>
    </row>
    <row r="17" spans="2:5" x14ac:dyDescent="0.25">
      <c r="B17" s="11">
        <f>WEEKNUM(Tabelle3510813[[#This Row],[Datum]])-1</f>
        <v>43</v>
      </c>
      <c r="C17" s="6">
        <v>42672</v>
      </c>
      <c r="D17" s="21" t="s">
        <v>33</v>
      </c>
      <c r="E17">
        <v>2</v>
      </c>
    </row>
    <row r="18" spans="2:5" x14ac:dyDescent="0.25">
      <c r="B18" s="11">
        <f>WEEKNUM(Tabelle3510813[[#This Row],[Datum]])-1</f>
        <v>44</v>
      </c>
      <c r="C18" s="6">
        <v>42676</v>
      </c>
      <c r="D18" s="3" t="s">
        <v>27</v>
      </c>
      <c r="E18">
        <v>4</v>
      </c>
    </row>
    <row r="19" spans="2:5" x14ac:dyDescent="0.25">
      <c r="B19" s="11">
        <f>WEEKNUM(Tabelle3510813[[#This Row],[Datum]])-1</f>
        <v>45</v>
      </c>
      <c r="C19" s="6">
        <v>42680</v>
      </c>
      <c r="D19" s="3" t="s">
        <v>32</v>
      </c>
      <c r="E19">
        <v>2.5</v>
      </c>
    </row>
    <row r="20" spans="2:5" x14ac:dyDescent="0.25">
      <c r="B20" s="11">
        <f>WEEKNUM(Tabelle3510813[[#This Row],[Datum]])-1</f>
        <v>45</v>
      </c>
      <c r="C20" s="6">
        <v>42681</v>
      </c>
      <c r="D20" s="3" t="s">
        <v>36</v>
      </c>
      <c r="E20">
        <v>1</v>
      </c>
    </row>
    <row r="21" spans="2:5" x14ac:dyDescent="0.25">
      <c r="B21" s="11">
        <f>WEEKNUM(Tabelle3510813[[#This Row],[Datum]])-1</f>
        <v>45</v>
      </c>
      <c r="C21" s="6">
        <v>42683</v>
      </c>
      <c r="D21" s="3" t="s">
        <v>29</v>
      </c>
      <c r="E21">
        <v>4</v>
      </c>
    </row>
    <row r="22" spans="2:5" ht="30" x14ac:dyDescent="0.25">
      <c r="B22" s="11">
        <f>WEEKNUM(Tabelle3510813[[#This Row],[Datum]])-1</f>
        <v>46</v>
      </c>
      <c r="C22" s="6">
        <v>42690</v>
      </c>
      <c r="D22" s="3" t="s">
        <v>52</v>
      </c>
      <c r="E22">
        <v>6</v>
      </c>
    </row>
    <row r="23" spans="2:5" x14ac:dyDescent="0.25">
      <c r="B23" s="11">
        <f>WEEKNUM(Tabelle3510813[[#This Row],[Datum]])-1</f>
        <v>46</v>
      </c>
      <c r="C23" s="6">
        <v>42690</v>
      </c>
      <c r="D23" s="3" t="s">
        <v>31</v>
      </c>
      <c r="E23">
        <v>4</v>
      </c>
    </row>
    <row r="24" spans="2:5" ht="30" x14ac:dyDescent="0.25">
      <c r="B24" s="11">
        <f>WEEKNUM(Tabelle3510813[[#This Row],[Datum]])-1</f>
        <v>46</v>
      </c>
      <c r="C24" s="6">
        <v>42691</v>
      </c>
      <c r="D24" s="3" t="s">
        <v>53</v>
      </c>
      <c r="E24">
        <v>2</v>
      </c>
    </row>
    <row r="25" spans="2:5" x14ac:dyDescent="0.25">
      <c r="B25" s="11">
        <f>WEEKNUM(Tabelle3510813[[#This Row],[Datum]])-1</f>
        <v>-1</v>
      </c>
    </row>
    <row r="26" spans="2:5" x14ac:dyDescent="0.25">
      <c r="B26" s="11">
        <f>WEEKNUM(Tabelle3510813[[#This Row],[Datum]])-1</f>
        <v>-1</v>
      </c>
    </row>
    <row r="27" spans="2:5" x14ac:dyDescent="0.25">
      <c r="B27" s="11">
        <f>WEEKNUM(Tabelle3510813[[#This Row],[Datum]])-1</f>
        <v>-1</v>
      </c>
    </row>
    <row r="28" spans="2:5" x14ac:dyDescent="0.25">
      <c r="B28" s="11">
        <f>WEEKNUM(Tabelle3510813[[#This Row],[Datum]])-1</f>
        <v>-1</v>
      </c>
    </row>
    <row r="29" spans="2:5" x14ac:dyDescent="0.25">
      <c r="B29" s="11">
        <f>WEEKNUM(Tabelle3510813[[#This Row],[Datum]])-1</f>
        <v>-1</v>
      </c>
    </row>
    <row r="30" spans="2:5" x14ac:dyDescent="0.25">
      <c r="B30" s="11">
        <f>WEEKNUM(Tabelle3510813[[#This Row],[Datum]])-1</f>
        <v>-1</v>
      </c>
    </row>
    <row r="31" spans="2:5" x14ac:dyDescent="0.25">
      <c r="B31" s="11">
        <f>WEEKNUM(Tabelle3510813[[#This Row],[Datum]])-1</f>
        <v>-1</v>
      </c>
    </row>
    <row r="32" spans="2:5" x14ac:dyDescent="0.25">
      <c r="B32" s="11">
        <f>WEEKNUM(Tabelle3510813[[#This Row],[Datum]])-1</f>
        <v>-1</v>
      </c>
    </row>
    <row r="33" spans="2:2" x14ac:dyDescent="0.25">
      <c r="B33" s="11">
        <f>WEEKNUM(Tabelle3510813[[#This Row],[Datum]])-1</f>
        <v>-1</v>
      </c>
    </row>
    <row r="34" spans="2:2" x14ac:dyDescent="0.25">
      <c r="B34" s="11">
        <f>WEEKNUM(Tabelle3510813[[#This Row],[Datum]])-1</f>
        <v>-1</v>
      </c>
    </row>
    <row r="35" spans="2:2" x14ac:dyDescent="0.25">
      <c r="B35" s="11">
        <f>WEEKNUM(Tabelle3510813[[#This Row],[Datum]])-1</f>
        <v>-1</v>
      </c>
    </row>
    <row r="36" spans="2:2" x14ac:dyDescent="0.25">
      <c r="B36" s="11">
        <f>WEEKNUM(Tabelle3510813[[#This Row],[Datum]])-1</f>
        <v>-1</v>
      </c>
    </row>
    <row r="37" spans="2:2" x14ac:dyDescent="0.25">
      <c r="B37" s="11">
        <f>WEEKNUM(Tabelle3510813[[#This Row],[Datum]])-1</f>
        <v>-1</v>
      </c>
    </row>
    <row r="38" spans="2:2" x14ac:dyDescent="0.25">
      <c r="B38" s="11">
        <f>WEEKNUM(Tabelle3510813[[#This Row],[Datum]])-1</f>
        <v>-1</v>
      </c>
    </row>
    <row r="39" spans="2:2" x14ac:dyDescent="0.25">
      <c r="B39" s="11">
        <f>WEEKNUM(Tabelle3510813[[#This Row],[Datum]])-1</f>
        <v>-1</v>
      </c>
    </row>
    <row r="40" spans="2:2" x14ac:dyDescent="0.25">
      <c r="B40" s="11">
        <f>WEEKNUM(Tabelle3510813[[#This Row],[Datum]])-1</f>
        <v>-1</v>
      </c>
    </row>
    <row r="41" spans="2:2" x14ac:dyDescent="0.25">
      <c r="B41" s="11">
        <f>WEEKNUM(Tabelle3510813[[#This Row],[Datum]])-1</f>
        <v>-1</v>
      </c>
    </row>
    <row r="42" spans="2:2" x14ac:dyDescent="0.25">
      <c r="B42" s="11">
        <f>WEEKNUM(Tabelle3510813[[#This Row],[Datum]])-1</f>
        <v>-1</v>
      </c>
    </row>
    <row r="43" spans="2:2" x14ac:dyDescent="0.25">
      <c r="B43" s="11">
        <f>WEEKNUM(Tabelle3510813[[#This Row],[Datum]])-1</f>
        <v>-1</v>
      </c>
    </row>
    <row r="44" spans="2:2" x14ac:dyDescent="0.25">
      <c r="B44" s="11">
        <f>WEEKNUM(Tabelle3510813[[#This Row],[Datum]])-1</f>
        <v>-1</v>
      </c>
    </row>
    <row r="45" spans="2:2" x14ac:dyDescent="0.25">
      <c r="B45" s="11">
        <f>WEEKNUM(Tabelle3510813[[#This Row],[Datum]])-1</f>
        <v>-1</v>
      </c>
    </row>
    <row r="46" spans="2:2" x14ac:dyDescent="0.25">
      <c r="B46" s="11">
        <f>WEEKNUM(Tabelle3510813[[#This Row],[Datum]])-1</f>
        <v>-1</v>
      </c>
    </row>
    <row r="47" spans="2:2" x14ac:dyDescent="0.25">
      <c r="B47" s="11">
        <f>WEEKNUM(Tabelle3510813[[#This Row],[Datum]])-1</f>
        <v>-1</v>
      </c>
    </row>
    <row r="48" spans="2:2" x14ac:dyDescent="0.25">
      <c r="B48" s="11">
        <f>WEEKNUM(Tabelle3510813[[#This Row],[Datum]])-1</f>
        <v>-1</v>
      </c>
    </row>
    <row r="49" spans="2:2" x14ac:dyDescent="0.25">
      <c r="B49" s="11">
        <f>WEEKNUM(Tabelle3510813[[#This Row],[Datum]])-1</f>
        <v>-1</v>
      </c>
    </row>
    <row r="50" spans="2:2" x14ac:dyDescent="0.25">
      <c r="B50" s="11">
        <f>WEEKNUM(Tabelle3510813[[#This Row],[Datum]])-1</f>
        <v>-1</v>
      </c>
    </row>
    <row r="51" spans="2:2" x14ac:dyDescent="0.25">
      <c r="B51" s="11">
        <f>WEEKNUM(Tabelle3510813[[#This Row],[Datum]])-1</f>
        <v>-1</v>
      </c>
    </row>
    <row r="52" spans="2:2" x14ac:dyDescent="0.25">
      <c r="B52" s="11">
        <f>WEEKNUM(Tabelle3510813[[#This Row],[Datum]])-1</f>
        <v>-1</v>
      </c>
    </row>
    <row r="53" spans="2:2" x14ac:dyDescent="0.25">
      <c r="B53" s="11">
        <f>WEEKNUM(Tabelle3510813[[#This Row],[Datum]])-1</f>
        <v>-1</v>
      </c>
    </row>
    <row r="54" spans="2:2" x14ac:dyDescent="0.25">
      <c r="B54" s="11">
        <f>WEEKNUM(Tabelle3510813[[#This Row],[Datum]])-1</f>
        <v>-1</v>
      </c>
    </row>
    <row r="55" spans="2:2" x14ac:dyDescent="0.25">
      <c r="B55" s="11">
        <f>WEEKNUM(Tabelle3510813[[#This Row],[Datum]])-1</f>
        <v>-1</v>
      </c>
    </row>
    <row r="56" spans="2:2" x14ac:dyDescent="0.25">
      <c r="B56" s="11">
        <f>WEEKNUM(Tabelle3510813[[#This Row],[Datum]])-1</f>
        <v>-1</v>
      </c>
    </row>
    <row r="57" spans="2:2" x14ac:dyDescent="0.25">
      <c r="B57" s="11">
        <f>WEEKNUM(Tabelle3510813[[#This Row],[Datum]])-1</f>
        <v>-1</v>
      </c>
    </row>
    <row r="58" spans="2:2" x14ac:dyDescent="0.25">
      <c r="B58" s="11">
        <f>WEEKNUM(Tabelle3510813[[#This Row],[Datum]])-1</f>
        <v>-1</v>
      </c>
    </row>
    <row r="59" spans="2:2" x14ac:dyDescent="0.25">
      <c r="B59" s="11">
        <f>WEEKNUM(Tabelle3510813[[#This Row],[Datum]])-1</f>
        <v>-1</v>
      </c>
    </row>
    <row r="60" spans="2:2" x14ac:dyDescent="0.25">
      <c r="B60" s="11">
        <f>WEEKNUM(Tabelle3510813[[#This Row],[Datum]])-1</f>
        <v>-1</v>
      </c>
    </row>
    <row r="61" spans="2:2" x14ac:dyDescent="0.25">
      <c r="B61" s="11">
        <f>WEEKNUM(Tabelle3510813[[#This Row],[Datum]])-1</f>
        <v>-1</v>
      </c>
    </row>
    <row r="62" spans="2:2" x14ac:dyDescent="0.25">
      <c r="B62" s="11">
        <f>WEEKNUM(Tabelle3510813[[#This Row],[Datum]])-1</f>
        <v>-1</v>
      </c>
    </row>
    <row r="63" spans="2:2" x14ac:dyDescent="0.25">
      <c r="B63" s="11">
        <f>WEEKNUM(Tabelle3510813[[#This Row],[Datum]])-1</f>
        <v>-1</v>
      </c>
    </row>
    <row r="64" spans="2:2" x14ac:dyDescent="0.25">
      <c r="B64" s="11">
        <f>WEEKNUM(Tabelle3510813[[#This Row],[Datum]])-1</f>
        <v>-1</v>
      </c>
    </row>
    <row r="65" spans="2:2" x14ac:dyDescent="0.25">
      <c r="B65" s="11">
        <f>WEEKNUM(Tabelle3510813[[#This Row],[Datum]])-1</f>
        <v>-1</v>
      </c>
    </row>
    <row r="66" spans="2:2" x14ac:dyDescent="0.25">
      <c r="B66" s="11">
        <f>WEEKNUM(Tabelle3510813[[#This Row],[Datum]])-1</f>
        <v>-1</v>
      </c>
    </row>
    <row r="67" spans="2:2" x14ac:dyDescent="0.25">
      <c r="B67" s="11">
        <f>WEEKNUM(Tabelle3510813[[#This Row],[Datum]])-1</f>
        <v>-1</v>
      </c>
    </row>
    <row r="68" spans="2:2" x14ac:dyDescent="0.25">
      <c r="B68" s="11">
        <f>WEEKNUM(Tabelle3510813[[#This Row],[Datum]])-1</f>
        <v>-1</v>
      </c>
    </row>
    <row r="69" spans="2:2" x14ac:dyDescent="0.25">
      <c r="B69" s="11">
        <f>WEEKNUM(Tabelle3510813[[#This Row],[Datum]])-1</f>
        <v>-1</v>
      </c>
    </row>
    <row r="70" spans="2:2" x14ac:dyDescent="0.25">
      <c r="B70" s="11">
        <f>WEEKNUM(Tabelle3510813[[#This Row],[Datum]])-1</f>
        <v>-1</v>
      </c>
    </row>
    <row r="71" spans="2:2" x14ac:dyDescent="0.25">
      <c r="B71" s="11">
        <f>WEEKNUM(Tabelle3510813[[#This Row],[Datum]])-1</f>
        <v>-1</v>
      </c>
    </row>
    <row r="72" spans="2:2" x14ac:dyDescent="0.25">
      <c r="B72" s="11">
        <f>WEEKNUM(Tabelle3510813[[#This Row],[Datum]])-1</f>
        <v>-1</v>
      </c>
    </row>
    <row r="73" spans="2:2" x14ac:dyDescent="0.25">
      <c r="B73" s="11">
        <f>WEEKNUM(Tabelle3510813[[#This Row],[Datum]])-1</f>
        <v>-1</v>
      </c>
    </row>
    <row r="74" spans="2:2" x14ac:dyDescent="0.25">
      <c r="B74" s="11">
        <f>WEEKNUM(Tabelle3510813[[#This Row],[Datum]])-1</f>
        <v>-1</v>
      </c>
    </row>
    <row r="75" spans="2:2" x14ac:dyDescent="0.25">
      <c r="B75" s="11">
        <f>WEEKNUM(Tabelle3510813[[#This Row],[Datum]])-1</f>
        <v>-1</v>
      </c>
    </row>
    <row r="76" spans="2:2" x14ac:dyDescent="0.25">
      <c r="B76" s="11">
        <f>WEEKNUM(Tabelle3510813[[#This Row],[Datum]])-1</f>
        <v>-1</v>
      </c>
    </row>
    <row r="77" spans="2:2" x14ac:dyDescent="0.25">
      <c r="B77" s="11">
        <f>WEEKNUM(Tabelle3510813[[#This Row],[Datum]])-1</f>
        <v>-1</v>
      </c>
    </row>
    <row r="78" spans="2:2" x14ac:dyDescent="0.25">
      <c r="B78" s="11">
        <f>WEEKNUM(Tabelle3510813[[#This Row],[Datum]])-1</f>
        <v>-1</v>
      </c>
    </row>
    <row r="79" spans="2:2" x14ac:dyDescent="0.25">
      <c r="B79" s="11">
        <f>WEEKNUM(Tabelle3510813[[#This Row],[Datum]])-1</f>
        <v>-1</v>
      </c>
    </row>
    <row r="80" spans="2:2" x14ac:dyDescent="0.25">
      <c r="B80" s="11">
        <f>WEEKNUM(Tabelle3510813[[#This Row],[Datum]])-1</f>
        <v>-1</v>
      </c>
    </row>
    <row r="81" spans="2:5" x14ac:dyDescent="0.25">
      <c r="B81" s="11">
        <f>WEEKNUM(Tabelle3510813[[#This Row],[Datum]])-1</f>
        <v>-1</v>
      </c>
    </row>
    <row r="82" spans="2:5" x14ac:dyDescent="0.25">
      <c r="B82" s="11">
        <f>WEEKNUM(Tabelle3510813[[#This Row],[Datum]])-1</f>
        <v>-1</v>
      </c>
    </row>
    <row r="83" spans="2:5" x14ac:dyDescent="0.25">
      <c r="B83" s="11">
        <f>WEEKNUM(Tabelle3510813[[#This Row],[Datum]])-1</f>
        <v>-1</v>
      </c>
    </row>
    <row r="84" spans="2:5" x14ac:dyDescent="0.25">
      <c r="B84" s="11">
        <f>WEEKNUM(Tabelle3510813[[#This Row],[Datum]])-1</f>
        <v>-1</v>
      </c>
    </row>
    <row r="85" spans="2:5" x14ac:dyDescent="0.25">
      <c r="B85" s="11">
        <f>WEEKNUM(Tabelle3510813[[#This Row],[Datum]])-1</f>
        <v>-1</v>
      </c>
    </row>
    <row r="86" spans="2:5" x14ac:dyDescent="0.25">
      <c r="B86" s="11">
        <f>WEEKNUM(Tabelle3510813[[#This Row],[Datum]])-1</f>
        <v>-1</v>
      </c>
    </row>
    <row r="87" spans="2:5" x14ac:dyDescent="0.25">
      <c r="B87" s="11">
        <f>WEEKNUM(Tabelle3510813[[#This Row],[Datum]])-1</f>
        <v>-1</v>
      </c>
    </row>
    <row r="88" spans="2:5" x14ac:dyDescent="0.25">
      <c r="B88" s="11">
        <f>WEEKNUM(Tabelle3510813[[#This Row],[Datum]])-1</f>
        <v>-1</v>
      </c>
    </row>
    <row r="89" spans="2:5" x14ac:dyDescent="0.25">
      <c r="B89" s="11">
        <f>WEEKNUM(Tabelle3510813[[#This Row],[Datum]])-1</f>
        <v>-1</v>
      </c>
    </row>
    <row r="90" spans="2:5" x14ac:dyDescent="0.25">
      <c r="B90" s="11">
        <f>WEEKNUM(Tabelle3510813[[#This Row],[Datum]])-1</f>
        <v>-1</v>
      </c>
    </row>
    <row r="91" spans="2:5" x14ac:dyDescent="0.25">
      <c r="B91" s="11">
        <f>WEEKNUM(Tabelle3510813[[#This Row],[Datum]])-1</f>
        <v>-1</v>
      </c>
    </row>
    <row r="92" spans="2:5" x14ac:dyDescent="0.25">
      <c r="B92" s="13"/>
      <c r="C92" s="8" t="s">
        <v>0</v>
      </c>
      <c r="E92">
        <f>SUBTOTAL(109,Tabelle3510813[Aufwand
(in h)])</f>
        <v>55.5</v>
      </c>
    </row>
  </sheetData>
  <pageMargins left="0.7" right="0.7" top="0.78740157499999996" bottom="0.78740157499999996" header="0.3" footer="0.3"/>
  <pageSetup paperSize="9" orientation="landscape" horizontalDpi="4294967293" verticalDpi="4294967293" r:id="rId1"/>
  <tableParts count="2">
    <tablePart r:id="rId2"/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E85"/>
  <sheetViews>
    <sheetView zoomScale="90" zoomScaleNormal="90" workbookViewId="0">
      <selection activeCell="H14" sqref="H14"/>
    </sheetView>
  </sheetViews>
  <sheetFormatPr baseColWidth="10" defaultColWidth="11.42578125" defaultRowHeight="15" x14ac:dyDescent="0.25"/>
  <cols>
    <col min="1" max="1" width="15.42578125" style="1" customWidth="1"/>
    <col min="2" max="2" width="15.7109375" style="1" customWidth="1"/>
    <col min="3" max="3" width="14.5703125" style="6" customWidth="1"/>
    <col min="4" max="4" width="44.140625" style="3" customWidth="1"/>
    <col min="5" max="5" width="8.7109375" customWidth="1"/>
  </cols>
  <sheetData>
    <row r="1" spans="1:5" ht="26.25" x14ac:dyDescent="0.4">
      <c r="A1" s="19" t="s">
        <v>7</v>
      </c>
      <c r="B1" s="2"/>
      <c r="D1" s="10"/>
    </row>
    <row r="2" spans="1:5" x14ac:dyDescent="0.25">
      <c r="A2" t="s">
        <v>5</v>
      </c>
      <c r="B2" t="s">
        <v>6</v>
      </c>
    </row>
    <row r="3" spans="1:5" x14ac:dyDescent="0.25">
      <c r="A3" s="1" t="str">
        <f>B6</f>
        <v>Pascal Dittli</v>
      </c>
      <c r="B3">
        <f>Tabelle3510817[[#Totals],[Aufwand
(in h)]]</f>
        <v>56.5</v>
      </c>
      <c r="D3" s="6"/>
    </row>
    <row r="6" spans="1:5" x14ac:dyDescent="0.25">
      <c r="B6" s="17" t="s">
        <v>10</v>
      </c>
      <c r="C6" s="3"/>
      <c r="D6"/>
    </row>
    <row r="7" spans="1:5" ht="45" x14ac:dyDescent="0.25">
      <c r="A7" s="4"/>
      <c r="B7" s="12" t="s">
        <v>8</v>
      </c>
      <c r="C7" s="7" t="s">
        <v>2</v>
      </c>
      <c r="D7" s="5" t="s">
        <v>3</v>
      </c>
      <c r="E7" s="5" t="s">
        <v>4</v>
      </c>
    </row>
    <row r="8" spans="1:5" ht="30" x14ac:dyDescent="0.25">
      <c r="B8" s="11">
        <f>WEEKNUM(Tabelle3510817[[#This Row],[Datum]])-1</f>
        <v>38</v>
      </c>
      <c r="C8" s="6">
        <v>42634</v>
      </c>
      <c r="D8" s="3" t="s">
        <v>17</v>
      </c>
      <c r="E8">
        <v>4</v>
      </c>
    </row>
    <row r="9" spans="1:5" x14ac:dyDescent="0.25">
      <c r="B9" s="14">
        <f>WEEKNUM(Tabelle3510817[[#This Row],[Datum]])-1</f>
        <v>39</v>
      </c>
      <c r="C9" s="7">
        <v>42641</v>
      </c>
      <c r="D9" s="5" t="s">
        <v>18</v>
      </c>
      <c r="E9" s="5">
        <v>4</v>
      </c>
    </row>
    <row r="10" spans="1:5" x14ac:dyDescent="0.25">
      <c r="B10" s="11">
        <f>WEEKNUM(Tabelle3510817[[#This Row],[Datum]])-1</f>
        <v>40</v>
      </c>
      <c r="C10" s="6">
        <v>42647</v>
      </c>
      <c r="D10" s="3" t="s">
        <v>20</v>
      </c>
      <c r="E10">
        <v>2.5</v>
      </c>
    </row>
    <row r="11" spans="1:5" x14ac:dyDescent="0.25">
      <c r="B11" s="11">
        <f>WEEKNUM(Tabelle3510817[[#This Row],[Datum]])-1</f>
        <v>40</v>
      </c>
      <c r="C11" s="6">
        <v>42648</v>
      </c>
      <c r="D11" s="3" t="s">
        <v>19</v>
      </c>
      <c r="E11">
        <v>4</v>
      </c>
    </row>
    <row r="12" spans="1:5" x14ac:dyDescent="0.25">
      <c r="B12" s="11">
        <f>WEEKNUM(Tabelle3510817[[#This Row],[Datum]])-1</f>
        <v>40</v>
      </c>
      <c r="C12" s="6">
        <v>42651</v>
      </c>
      <c r="D12" s="3" t="s">
        <v>35</v>
      </c>
      <c r="E12">
        <v>1.5</v>
      </c>
    </row>
    <row r="13" spans="1:5" ht="30" x14ac:dyDescent="0.25">
      <c r="B13" s="11">
        <f>WEEKNUM(Tabelle3510817[[#This Row],[Datum]])-1</f>
        <v>41</v>
      </c>
      <c r="C13" s="6">
        <v>42655</v>
      </c>
      <c r="D13" s="3" t="s">
        <v>21</v>
      </c>
      <c r="E13">
        <v>4</v>
      </c>
    </row>
    <row r="14" spans="1:5" x14ac:dyDescent="0.25">
      <c r="B14" s="11">
        <f>WEEKNUM(Tabelle3510817[[#This Row],[Datum]])-1</f>
        <v>41</v>
      </c>
      <c r="C14" s="6">
        <v>42658</v>
      </c>
      <c r="D14" s="3" t="s">
        <v>22</v>
      </c>
      <c r="E14">
        <v>3.5</v>
      </c>
    </row>
    <row r="15" spans="1:5" x14ac:dyDescent="0.25">
      <c r="B15" s="11">
        <f>WEEKNUM(Tabelle3510817[[#This Row],[Datum]])-1</f>
        <v>42</v>
      </c>
      <c r="C15" s="6">
        <v>42661</v>
      </c>
      <c r="D15" s="3" t="s">
        <v>24</v>
      </c>
      <c r="E15">
        <v>2</v>
      </c>
    </row>
    <row r="16" spans="1:5" ht="30" x14ac:dyDescent="0.25">
      <c r="B16" s="11">
        <f>WEEKNUM(Tabelle3510817[[#This Row],[Datum]])-1</f>
        <v>42</v>
      </c>
      <c r="C16" s="6">
        <v>42662</v>
      </c>
      <c r="D16" s="3" t="s">
        <v>23</v>
      </c>
      <c r="E16">
        <v>4</v>
      </c>
    </row>
    <row r="17" spans="2:5" ht="30" x14ac:dyDescent="0.25">
      <c r="B17" s="11">
        <f>WEEKNUM(Tabelle3510817[[#This Row],[Datum]])-1</f>
        <v>43</v>
      </c>
      <c r="C17" s="6">
        <v>42669</v>
      </c>
      <c r="D17" s="3" t="s">
        <v>39</v>
      </c>
      <c r="E17">
        <v>4</v>
      </c>
    </row>
    <row r="18" spans="2:5" x14ac:dyDescent="0.25">
      <c r="B18" s="11">
        <f>WEEKNUM(Tabelle3510817[[#This Row],[Datum]])-1</f>
        <v>43</v>
      </c>
      <c r="C18" s="6">
        <v>42671</v>
      </c>
      <c r="D18" s="3" t="s">
        <v>26</v>
      </c>
      <c r="E18">
        <v>2</v>
      </c>
    </row>
    <row r="19" spans="2:5" x14ac:dyDescent="0.25">
      <c r="B19" s="11">
        <f>WEEKNUM(Tabelle3510817[[#This Row],[Datum]])-1</f>
        <v>44</v>
      </c>
      <c r="C19" s="6">
        <v>42676</v>
      </c>
      <c r="D19" s="3" t="s">
        <v>27</v>
      </c>
      <c r="E19">
        <v>4</v>
      </c>
    </row>
    <row r="20" spans="2:5" x14ac:dyDescent="0.25">
      <c r="B20" s="11">
        <f>WEEKNUM(Tabelle3510817[[#This Row],[Datum]])-1</f>
        <v>44</v>
      </c>
      <c r="C20" s="6">
        <v>42679</v>
      </c>
      <c r="D20" s="3" t="s">
        <v>28</v>
      </c>
      <c r="E20">
        <v>7</v>
      </c>
    </row>
    <row r="21" spans="2:5" x14ac:dyDescent="0.25">
      <c r="B21" s="11">
        <f>WEEKNUM(Tabelle3510817[[#This Row],[Datum]])-1</f>
        <v>45</v>
      </c>
      <c r="C21" s="6">
        <v>42683</v>
      </c>
      <c r="D21" s="3" t="s">
        <v>29</v>
      </c>
      <c r="E21">
        <v>4</v>
      </c>
    </row>
    <row r="22" spans="2:5" x14ac:dyDescent="0.25">
      <c r="B22" s="11">
        <f>WEEKNUM(Tabelle3510817[[#This Row],[Datum]])-1</f>
        <v>46</v>
      </c>
      <c r="C22" s="6">
        <v>42690</v>
      </c>
      <c r="D22" s="3" t="s">
        <v>30</v>
      </c>
      <c r="E22">
        <v>2</v>
      </c>
    </row>
    <row r="23" spans="2:5" x14ac:dyDescent="0.25">
      <c r="B23" s="11">
        <f>WEEKNUM(Tabelle3510817[[#This Row],[Datum]])-1</f>
        <v>46</v>
      </c>
      <c r="C23" s="6">
        <v>42690</v>
      </c>
      <c r="D23" s="3" t="s">
        <v>31</v>
      </c>
      <c r="E23">
        <v>4</v>
      </c>
    </row>
    <row r="24" spans="2:5" x14ac:dyDescent="0.25">
      <c r="B24" s="11">
        <f>WEEKNUM(Tabelle3510817[[#This Row],[Datum]])-1</f>
        <v>-1</v>
      </c>
    </row>
    <row r="25" spans="2:5" x14ac:dyDescent="0.25">
      <c r="B25" s="11">
        <f>WEEKNUM(Tabelle3510817[[#This Row],[Datum]])-1</f>
        <v>-1</v>
      </c>
    </row>
    <row r="26" spans="2:5" x14ac:dyDescent="0.25">
      <c r="B26" s="11">
        <f>WEEKNUM(Tabelle3510817[[#This Row],[Datum]])-1</f>
        <v>-1</v>
      </c>
    </row>
    <row r="27" spans="2:5" x14ac:dyDescent="0.25">
      <c r="B27" s="11">
        <f>WEEKNUM(Tabelle3510817[[#This Row],[Datum]])-1</f>
        <v>-1</v>
      </c>
    </row>
    <row r="28" spans="2:5" x14ac:dyDescent="0.25">
      <c r="B28" s="11">
        <f>WEEKNUM(Tabelle3510817[[#This Row],[Datum]])-1</f>
        <v>-1</v>
      </c>
    </row>
    <row r="29" spans="2:5" x14ac:dyDescent="0.25">
      <c r="B29" s="11">
        <f>WEEKNUM(Tabelle3510817[[#This Row],[Datum]])-1</f>
        <v>-1</v>
      </c>
    </row>
    <row r="30" spans="2:5" x14ac:dyDescent="0.25">
      <c r="B30" s="11">
        <f>WEEKNUM(Tabelle3510817[[#This Row],[Datum]])-1</f>
        <v>-1</v>
      </c>
    </row>
    <row r="31" spans="2:5" x14ac:dyDescent="0.25">
      <c r="B31" s="11">
        <f>WEEKNUM(Tabelle3510817[[#This Row],[Datum]])-1</f>
        <v>-1</v>
      </c>
    </row>
    <row r="32" spans="2:5" x14ac:dyDescent="0.25">
      <c r="B32" s="11">
        <f>WEEKNUM(Tabelle3510817[[#This Row],[Datum]])-1</f>
        <v>-1</v>
      </c>
    </row>
    <row r="33" spans="2:2" x14ac:dyDescent="0.25">
      <c r="B33" s="11">
        <f>WEEKNUM(Tabelle3510817[[#This Row],[Datum]])-1</f>
        <v>-1</v>
      </c>
    </row>
    <row r="34" spans="2:2" x14ac:dyDescent="0.25">
      <c r="B34" s="11">
        <f>WEEKNUM(Tabelle3510817[[#This Row],[Datum]])-1</f>
        <v>-1</v>
      </c>
    </row>
    <row r="35" spans="2:2" x14ac:dyDescent="0.25">
      <c r="B35" s="11">
        <f>WEEKNUM(Tabelle3510817[[#This Row],[Datum]])-1</f>
        <v>-1</v>
      </c>
    </row>
    <row r="36" spans="2:2" x14ac:dyDescent="0.25">
      <c r="B36" s="11">
        <f>WEEKNUM(Tabelle3510817[[#This Row],[Datum]])-1</f>
        <v>-1</v>
      </c>
    </row>
    <row r="37" spans="2:2" x14ac:dyDescent="0.25">
      <c r="B37" s="11">
        <f>WEEKNUM(Tabelle3510817[[#This Row],[Datum]])-1</f>
        <v>-1</v>
      </c>
    </row>
    <row r="38" spans="2:2" x14ac:dyDescent="0.25">
      <c r="B38" s="11">
        <f>WEEKNUM(Tabelle3510817[[#This Row],[Datum]])-1</f>
        <v>-1</v>
      </c>
    </row>
    <row r="39" spans="2:2" x14ac:dyDescent="0.25">
      <c r="B39" s="11">
        <f>WEEKNUM(Tabelle3510817[[#This Row],[Datum]])-1</f>
        <v>-1</v>
      </c>
    </row>
    <row r="40" spans="2:2" x14ac:dyDescent="0.25">
      <c r="B40" s="11">
        <f>WEEKNUM(Tabelle3510817[[#This Row],[Datum]])-1</f>
        <v>-1</v>
      </c>
    </row>
    <row r="41" spans="2:2" x14ac:dyDescent="0.25">
      <c r="B41" s="11">
        <f>WEEKNUM(Tabelle3510817[[#This Row],[Datum]])-1</f>
        <v>-1</v>
      </c>
    </row>
    <row r="42" spans="2:2" x14ac:dyDescent="0.25">
      <c r="B42" s="11">
        <f>WEEKNUM(Tabelle3510817[[#This Row],[Datum]])-1</f>
        <v>-1</v>
      </c>
    </row>
    <row r="43" spans="2:2" x14ac:dyDescent="0.25">
      <c r="B43" s="11">
        <f>WEEKNUM(Tabelle3510817[[#This Row],[Datum]])-1</f>
        <v>-1</v>
      </c>
    </row>
    <row r="44" spans="2:2" x14ac:dyDescent="0.25">
      <c r="B44" s="11">
        <f>WEEKNUM(Tabelle3510817[[#This Row],[Datum]])-1</f>
        <v>-1</v>
      </c>
    </row>
    <row r="45" spans="2:2" x14ac:dyDescent="0.25">
      <c r="B45" s="11">
        <f>WEEKNUM(Tabelle3510817[[#This Row],[Datum]])-1</f>
        <v>-1</v>
      </c>
    </row>
    <row r="46" spans="2:2" x14ac:dyDescent="0.25">
      <c r="B46" s="11">
        <f>WEEKNUM(Tabelle3510817[[#This Row],[Datum]])-1</f>
        <v>-1</v>
      </c>
    </row>
    <row r="47" spans="2:2" x14ac:dyDescent="0.25">
      <c r="B47" s="11">
        <f>WEEKNUM(Tabelle3510817[[#This Row],[Datum]])-1</f>
        <v>-1</v>
      </c>
    </row>
    <row r="48" spans="2:2" x14ac:dyDescent="0.25">
      <c r="B48" s="11">
        <f>WEEKNUM(Tabelle3510817[[#This Row],[Datum]])-1</f>
        <v>-1</v>
      </c>
    </row>
    <row r="49" spans="2:2" x14ac:dyDescent="0.25">
      <c r="B49" s="11">
        <f>WEEKNUM(Tabelle3510817[[#This Row],[Datum]])-1</f>
        <v>-1</v>
      </c>
    </row>
    <row r="50" spans="2:2" x14ac:dyDescent="0.25">
      <c r="B50" s="11">
        <f>WEEKNUM(Tabelle3510817[[#This Row],[Datum]])-1</f>
        <v>-1</v>
      </c>
    </row>
    <row r="51" spans="2:2" x14ac:dyDescent="0.25">
      <c r="B51" s="11">
        <f>WEEKNUM(Tabelle3510817[[#This Row],[Datum]])-1</f>
        <v>-1</v>
      </c>
    </row>
    <row r="52" spans="2:2" x14ac:dyDescent="0.25">
      <c r="B52" s="11">
        <f>WEEKNUM(Tabelle3510817[[#This Row],[Datum]])-1</f>
        <v>-1</v>
      </c>
    </row>
    <row r="53" spans="2:2" x14ac:dyDescent="0.25">
      <c r="B53" s="11">
        <f>WEEKNUM(Tabelle3510817[[#This Row],[Datum]])-1</f>
        <v>-1</v>
      </c>
    </row>
    <row r="54" spans="2:2" x14ac:dyDescent="0.25">
      <c r="B54" s="11">
        <f>WEEKNUM(Tabelle3510817[[#This Row],[Datum]])-1</f>
        <v>-1</v>
      </c>
    </row>
    <row r="55" spans="2:2" x14ac:dyDescent="0.25">
      <c r="B55" s="11">
        <f>WEEKNUM(Tabelle3510817[[#This Row],[Datum]])-1</f>
        <v>-1</v>
      </c>
    </row>
    <row r="56" spans="2:2" x14ac:dyDescent="0.25">
      <c r="B56" s="11">
        <f>WEEKNUM(Tabelle3510817[[#This Row],[Datum]])-1</f>
        <v>-1</v>
      </c>
    </row>
    <row r="57" spans="2:2" x14ac:dyDescent="0.25">
      <c r="B57" s="11">
        <f>WEEKNUM(Tabelle3510817[[#This Row],[Datum]])-1</f>
        <v>-1</v>
      </c>
    </row>
    <row r="58" spans="2:2" x14ac:dyDescent="0.25">
      <c r="B58" s="11">
        <f>WEEKNUM(Tabelle3510817[[#This Row],[Datum]])-1</f>
        <v>-1</v>
      </c>
    </row>
    <row r="59" spans="2:2" x14ac:dyDescent="0.25">
      <c r="B59" s="11">
        <f>WEEKNUM(Tabelle3510817[[#This Row],[Datum]])-1</f>
        <v>-1</v>
      </c>
    </row>
    <row r="60" spans="2:2" x14ac:dyDescent="0.25">
      <c r="B60" s="11">
        <f>WEEKNUM(Tabelle3510817[[#This Row],[Datum]])-1</f>
        <v>-1</v>
      </c>
    </row>
    <row r="61" spans="2:2" x14ac:dyDescent="0.25">
      <c r="B61" s="11">
        <f>WEEKNUM(Tabelle3510817[[#This Row],[Datum]])-1</f>
        <v>-1</v>
      </c>
    </row>
    <row r="62" spans="2:2" x14ac:dyDescent="0.25">
      <c r="B62" s="11">
        <f>WEEKNUM(Tabelle3510817[[#This Row],[Datum]])-1</f>
        <v>-1</v>
      </c>
    </row>
    <row r="63" spans="2:2" x14ac:dyDescent="0.25">
      <c r="B63" s="11">
        <f>WEEKNUM(Tabelle3510817[[#This Row],[Datum]])-1</f>
        <v>-1</v>
      </c>
    </row>
    <row r="64" spans="2:2" x14ac:dyDescent="0.25">
      <c r="B64" s="11">
        <f>WEEKNUM(Tabelle3510817[[#This Row],[Datum]])-1</f>
        <v>-1</v>
      </c>
    </row>
    <row r="65" spans="2:2" x14ac:dyDescent="0.25">
      <c r="B65" s="11">
        <f>WEEKNUM(Tabelle3510817[[#This Row],[Datum]])-1</f>
        <v>-1</v>
      </c>
    </row>
    <row r="66" spans="2:2" x14ac:dyDescent="0.25">
      <c r="B66" s="11">
        <f>WEEKNUM(Tabelle3510817[[#This Row],[Datum]])-1</f>
        <v>-1</v>
      </c>
    </row>
    <row r="67" spans="2:2" x14ac:dyDescent="0.25">
      <c r="B67" s="11">
        <f>WEEKNUM(Tabelle3510817[[#This Row],[Datum]])-1</f>
        <v>-1</v>
      </c>
    </row>
    <row r="68" spans="2:2" x14ac:dyDescent="0.25">
      <c r="B68" s="11">
        <f>WEEKNUM(Tabelle3510817[[#This Row],[Datum]])-1</f>
        <v>-1</v>
      </c>
    </row>
    <row r="69" spans="2:2" x14ac:dyDescent="0.25">
      <c r="B69" s="11">
        <f>WEEKNUM(Tabelle3510817[[#This Row],[Datum]])-1</f>
        <v>-1</v>
      </c>
    </row>
    <row r="70" spans="2:2" x14ac:dyDescent="0.25">
      <c r="B70" s="11">
        <f>WEEKNUM(Tabelle3510817[[#This Row],[Datum]])-1</f>
        <v>-1</v>
      </c>
    </row>
    <row r="71" spans="2:2" x14ac:dyDescent="0.25">
      <c r="B71" s="11">
        <f>WEEKNUM(Tabelle3510817[[#This Row],[Datum]])-1</f>
        <v>-1</v>
      </c>
    </row>
    <row r="72" spans="2:2" x14ac:dyDescent="0.25">
      <c r="B72" s="11">
        <f>WEEKNUM(Tabelle3510817[[#This Row],[Datum]])-1</f>
        <v>-1</v>
      </c>
    </row>
    <row r="73" spans="2:2" x14ac:dyDescent="0.25">
      <c r="B73" s="11">
        <f>WEEKNUM(Tabelle3510817[[#This Row],[Datum]])-1</f>
        <v>-1</v>
      </c>
    </row>
    <row r="74" spans="2:2" x14ac:dyDescent="0.25">
      <c r="B74" s="11">
        <f>WEEKNUM(Tabelle3510817[[#This Row],[Datum]])-1</f>
        <v>-1</v>
      </c>
    </row>
    <row r="75" spans="2:2" x14ac:dyDescent="0.25">
      <c r="B75" s="11">
        <f>WEEKNUM(Tabelle3510817[[#This Row],[Datum]])-1</f>
        <v>-1</v>
      </c>
    </row>
    <row r="76" spans="2:2" x14ac:dyDescent="0.25">
      <c r="B76" s="11">
        <f>WEEKNUM(Tabelle3510817[[#This Row],[Datum]])-1</f>
        <v>-1</v>
      </c>
    </row>
    <row r="77" spans="2:2" x14ac:dyDescent="0.25">
      <c r="B77" s="11">
        <f>WEEKNUM(Tabelle3510817[[#This Row],[Datum]])-1</f>
        <v>-1</v>
      </c>
    </row>
    <row r="78" spans="2:2" x14ac:dyDescent="0.25">
      <c r="B78" s="11">
        <f>WEEKNUM(Tabelle3510817[[#This Row],[Datum]])-1</f>
        <v>-1</v>
      </c>
    </row>
    <row r="79" spans="2:2" x14ac:dyDescent="0.25">
      <c r="B79" s="11">
        <f>WEEKNUM(Tabelle3510817[[#This Row],[Datum]])-1</f>
        <v>-1</v>
      </c>
    </row>
    <row r="80" spans="2:2" x14ac:dyDescent="0.25">
      <c r="B80" s="11">
        <f>WEEKNUM(Tabelle3510817[[#This Row],[Datum]])-1</f>
        <v>-1</v>
      </c>
    </row>
    <row r="81" spans="2:5" x14ac:dyDescent="0.25">
      <c r="B81" s="11">
        <f>WEEKNUM(Tabelle3510817[[#This Row],[Datum]])-1</f>
        <v>-1</v>
      </c>
    </row>
    <row r="82" spans="2:5" x14ac:dyDescent="0.25">
      <c r="B82" s="11">
        <f>WEEKNUM(Tabelle3510817[[#This Row],[Datum]])-1</f>
        <v>-1</v>
      </c>
    </row>
    <row r="83" spans="2:5" x14ac:dyDescent="0.25">
      <c r="B83" s="11">
        <f>WEEKNUM(Tabelle3510817[[#This Row],[Datum]])-1</f>
        <v>-1</v>
      </c>
    </row>
    <row r="84" spans="2:5" x14ac:dyDescent="0.25">
      <c r="B84" s="11">
        <f>WEEKNUM(Tabelle3510817[[#This Row],[Datum]])-1</f>
        <v>-1</v>
      </c>
    </row>
    <row r="85" spans="2:5" x14ac:dyDescent="0.25">
      <c r="B85" s="13"/>
      <c r="C85" s="8" t="s">
        <v>0</v>
      </c>
      <c r="E85">
        <f>SUBTOTAL(109,Tabelle3510817[Aufwand
(in h)])</f>
        <v>56.5</v>
      </c>
    </row>
  </sheetData>
  <pageMargins left="0.7" right="0.7" top="0.78740157499999996" bottom="0.78740157499999996" header="0.3" footer="0.3"/>
  <pageSetup paperSize="9" orientation="landscape" r:id="rId1"/>
  <tableParts count="2">
    <tablePart r:id="rId2"/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2" tint="-0.499984740745262"/>
  </sheetPr>
  <dimension ref="A1:E83"/>
  <sheetViews>
    <sheetView tabSelected="1" topLeftCell="A16" zoomScale="90" zoomScaleNormal="90" workbookViewId="0">
      <selection activeCell="E26" sqref="E26"/>
    </sheetView>
  </sheetViews>
  <sheetFormatPr baseColWidth="10" defaultColWidth="11.42578125" defaultRowHeight="15" x14ac:dyDescent="0.25"/>
  <cols>
    <col min="1" max="1" width="15.42578125" style="1" customWidth="1"/>
    <col min="2" max="2" width="15.7109375" style="1" customWidth="1"/>
    <col min="3" max="3" width="14.5703125" style="6" customWidth="1"/>
    <col min="4" max="4" width="34.7109375" style="3" customWidth="1"/>
    <col min="5" max="5" width="8.7109375" customWidth="1"/>
  </cols>
  <sheetData>
    <row r="1" spans="1:5" ht="26.25" x14ac:dyDescent="0.4">
      <c r="A1" s="20" t="s">
        <v>7</v>
      </c>
      <c r="B1" s="2"/>
      <c r="D1" s="10"/>
    </row>
    <row r="2" spans="1:5" x14ac:dyDescent="0.25">
      <c r="A2" t="s">
        <v>5</v>
      </c>
      <c r="B2" t="s">
        <v>6</v>
      </c>
    </row>
    <row r="3" spans="1:5" x14ac:dyDescent="0.25">
      <c r="A3" s="1" t="str">
        <f>B6</f>
        <v>Patrick Jolo</v>
      </c>
      <c r="B3">
        <f>Tabelle3510819[[#Totals],[Aufwand
(in h)]]</f>
        <v>63</v>
      </c>
      <c r="D3" s="6"/>
    </row>
    <row r="6" spans="1:5" x14ac:dyDescent="0.25">
      <c r="B6" s="18" t="s">
        <v>11</v>
      </c>
      <c r="C6" s="3"/>
      <c r="D6"/>
    </row>
    <row r="7" spans="1:5" ht="45" x14ac:dyDescent="0.25">
      <c r="A7" s="4"/>
      <c r="B7" s="12" t="s">
        <v>8</v>
      </c>
      <c r="C7" s="7" t="s">
        <v>2</v>
      </c>
      <c r="D7" s="5" t="s">
        <v>3</v>
      </c>
      <c r="E7" s="5" t="s">
        <v>4</v>
      </c>
    </row>
    <row r="8" spans="1:5" ht="30" x14ac:dyDescent="0.25">
      <c r="B8" s="14">
        <f>WEEKNUM(Tabelle3510819[[#This Row],[Datum]])-1</f>
        <v>38</v>
      </c>
      <c r="C8" s="6">
        <v>42634</v>
      </c>
      <c r="D8" s="3" t="s">
        <v>17</v>
      </c>
      <c r="E8">
        <v>4</v>
      </c>
    </row>
    <row r="9" spans="1:5" ht="30" x14ac:dyDescent="0.25">
      <c r="B9" s="14">
        <f>WEEKNUM(Tabelle3510819[[#This Row],[Datum]])-1</f>
        <v>39</v>
      </c>
      <c r="C9" s="7">
        <v>42641</v>
      </c>
      <c r="D9" s="5" t="s">
        <v>18</v>
      </c>
      <c r="E9" s="5">
        <v>4</v>
      </c>
    </row>
    <row r="10" spans="1:5" x14ac:dyDescent="0.25">
      <c r="B10" s="11">
        <f>WEEKNUM(Tabelle3510819[[#This Row],[Datum]])-1</f>
        <v>40</v>
      </c>
      <c r="C10" s="6">
        <v>42647</v>
      </c>
      <c r="D10" s="3" t="s">
        <v>20</v>
      </c>
      <c r="E10">
        <v>2.5</v>
      </c>
    </row>
    <row r="11" spans="1:5" ht="30" x14ac:dyDescent="0.25">
      <c r="B11" s="11">
        <f>WEEKNUM(Tabelle3510819[[#This Row],[Datum]])-1</f>
        <v>40</v>
      </c>
      <c r="C11" s="6">
        <v>42648</v>
      </c>
      <c r="D11" s="3" t="s">
        <v>19</v>
      </c>
      <c r="E11">
        <v>4</v>
      </c>
    </row>
    <row r="12" spans="1:5" ht="30" x14ac:dyDescent="0.25">
      <c r="B12" s="11">
        <f>WEEKNUM(Tabelle3510819[[#This Row],[Datum]])-1</f>
        <v>41</v>
      </c>
      <c r="C12" s="6">
        <v>42655</v>
      </c>
      <c r="D12" s="3" t="s">
        <v>21</v>
      </c>
      <c r="E12">
        <v>4</v>
      </c>
    </row>
    <row r="13" spans="1:5" ht="30" x14ac:dyDescent="0.25">
      <c r="B13" s="11">
        <f>WEEKNUM(Tabelle3510819[[#This Row],[Datum]])-1</f>
        <v>42</v>
      </c>
      <c r="C13" s="6">
        <v>42662</v>
      </c>
      <c r="D13" s="3" t="s">
        <v>23</v>
      </c>
      <c r="E13">
        <v>4</v>
      </c>
    </row>
    <row r="14" spans="1:5" ht="30" x14ac:dyDescent="0.25">
      <c r="B14" s="11">
        <f>WEEKNUM(Tabelle3510819[[#This Row],[Datum]])-1</f>
        <v>43</v>
      </c>
      <c r="C14" s="6">
        <v>42669</v>
      </c>
      <c r="D14" s="3" t="s">
        <v>25</v>
      </c>
      <c r="E14">
        <v>4</v>
      </c>
    </row>
    <row r="15" spans="1:5" x14ac:dyDescent="0.25">
      <c r="B15" s="11">
        <f>WEEKNUM(Tabelle3510819[[#This Row],[Datum]])-1</f>
        <v>44</v>
      </c>
      <c r="C15" s="6">
        <v>42676</v>
      </c>
      <c r="D15" s="3" t="s">
        <v>27</v>
      </c>
      <c r="E15">
        <v>4</v>
      </c>
    </row>
    <row r="16" spans="1:5" x14ac:dyDescent="0.25">
      <c r="B16" s="11">
        <f>WEEKNUM(Tabelle3510819[[#This Row],[Datum]])-1</f>
        <v>45</v>
      </c>
      <c r="C16" s="6">
        <v>42683</v>
      </c>
      <c r="D16" s="3" t="s">
        <v>29</v>
      </c>
      <c r="E16">
        <v>4</v>
      </c>
    </row>
    <row r="17" spans="2:5" x14ac:dyDescent="0.25">
      <c r="B17" s="11">
        <f>WEEKNUM(Tabelle3510819[[#This Row],[Datum]])-1</f>
        <v>45</v>
      </c>
      <c r="C17" s="6">
        <v>42686</v>
      </c>
      <c r="D17" s="3" t="s">
        <v>54</v>
      </c>
      <c r="E17">
        <v>4</v>
      </c>
    </row>
    <row r="18" spans="2:5" x14ac:dyDescent="0.25">
      <c r="B18" s="11">
        <f>WEEKNUM(Tabelle3510819[[#This Row],[Datum]])-1</f>
        <v>46</v>
      </c>
      <c r="C18" s="6">
        <v>42689</v>
      </c>
      <c r="D18" s="3" t="s">
        <v>54</v>
      </c>
      <c r="E18">
        <v>3.5</v>
      </c>
    </row>
    <row r="19" spans="2:5" x14ac:dyDescent="0.25">
      <c r="B19" s="11">
        <f>WEEKNUM(Tabelle3510819[[#This Row],[Datum]])-1</f>
        <v>46</v>
      </c>
      <c r="C19" s="6">
        <v>42690</v>
      </c>
      <c r="D19" s="3" t="s">
        <v>31</v>
      </c>
      <c r="E19">
        <v>3</v>
      </c>
    </row>
    <row r="20" spans="2:5" x14ac:dyDescent="0.25">
      <c r="B20" s="11">
        <f>WEEKNUM(Tabelle3510819[[#This Row],[Datum]])-1</f>
        <v>46</v>
      </c>
      <c r="C20" s="6">
        <v>42690</v>
      </c>
      <c r="D20" s="3" t="s">
        <v>30</v>
      </c>
      <c r="E20">
        <v>2</v>
      </c>
    </row>
    <row r="21" spans="2:5" x14ac:dyDescent="0.25">
      <c r="B21" s="11">
        <f>WEEKNUM(Tabelle3510819[[#This Row],[Datum]])-1</f>
        <v>46</v>
      </c>
      <c r="C21" s="6">
        <v>42690</v>
      </c>
      <c r="D21" s="3" t="s">
        <v>54</v>
      </c>
      <c r="E21">
        <v>3</v>
      </c>
    </row>
    <row r="22" spans="2:5" x14ac:dyDescent="0.25">
      <c r="B22" s="11">
        <f>WEEKNUM(Tabelle3510819[[#This Row],[Datum]])-1</f>
        <v>46</v>
      </c>
      <c r="C22" s="6">
        <v>42691</v>
      </c>
      <c r="D22" s="3" t="s">
        <v>55</v>
      </c>
      <c r="E22">
        <v>5</v>
      </c>
    </row>
    <row r="23" spans="2:5" x14ac:dyDescent="0.25">
      <c r="B23" s="11">
        <f>WEEKNUM(Tabelle3510819[[#This Row],[Datum]])-1</f>
        <v>52</v>
      </c>
      <c r="C23" s="6">
        <v>42732</v>
      </c>
      <c r="D23" s="3" t="s">
        <v>56</v>
      </c>
      <c r="E23">
        <v>2</v>
      </c>
    </row>
    <row r="24" spans="2:5" x14ac:dyDescent="0.25">
      <c r="B24" s="11">
        <f>WEEKNUM(Tabelle3510819[[#This Row],[Datum]])-1</f>
        <v>52</v>
      </c>
      <c r="C24" s="6">
        <v>42733</v>
      </c>
      <c r="D24" s="3" t="s">
        <v>57</v>
      </c>
      <c r="E24">
        <v>3</v>
      </c>
    </row>
    <row r="25" spans="2:5" x14ac:dyDescent="0.25">
      <c r="B25" s="11">
        <f>WEEKNUM(Tabelle3510819[[#This Row],[Datum]])-1</f>
        <v>0</v>
      </c>
      <c r="C25" s="6">
        <v>42739</v>
      </c>
      <c r="D25" s="3" t="s">
        <v>58</v>
      </c>
      <c r="E25">
        <v>3</v>
      </c>
    </row>
    <row r="26" spans="2:5" x14ac:dyDescent="0.25">
      <c r="B26" s="11">
        <f>WEEKNUM(Tabelle3510819[[#This Row],[Datum]])-1</f>
        <v>-1</v>
      </c>
    </row>
    <row r="27" spans="2:5" x14ac:dyDescent="0.25">
      <c r="B27" s="11">
        <f>WEEKNUM(Tabelle3510819[[#This Row],[Datum]])-1</f>
        <v>-1</v>
      </c>
    </row>
    <row r="28" spans="2:5" x14ac:dyDescent="0.25">
      <c r="B28" s="11">
        <f>WEEKNUM(Tabelle3510819[[#This Row],[Datum]])-1</f>
        <v>-1</v>
      </c>
    </row>
    <row r="29" spans="2:5" x14ac:dyDescent="0.25">
      <c r="B29" s="11">
        <f>WEEKNUM(Tabelle3510819[[#This Row],[Datum]])-1</f>
        <v>-1</v>
      </c>
    </row>
    <row r="30" spans="2:5" x14ac:dyDescent="0.25">
      <c r="B30" s="11">
        <f>WEEKNUM(Tabelle3510819[[#This Row],[Datum]])-1</f>
        <v>-1</v>
      </c>
    </row>
    <row r="31" spans="2:5" x14ac:dyDescent="0.25">
      <c r="B31" s="11">
        <f>WEEKNUM(Tabelle3510819[[#This Row],[Datum]])-1</f>
        <v>-1</v>
      </c>
    </row>
    <row r="32" spans="2:5" x14ac:dyDescent="0.25">
      <c r="B32" s="11">
        <f>WEEKNUM(Tabelle3510819[[#This Row],[Datum]])-1</f>
        <v>-1</v>
      </c>
    </row>
    <row r="33" spans="2:2" x14ac:dyDescent="0.25">
      <c r="B33" s="11">
        <f>WEEKNUM(Tabelle3510819[[#This Row],[Datum]])-1</f>
        <v>-1</v>
      </c>
    </row>
    <row r="34" spans="2:2" x14ac:dyDescent="0.25">
      <c r="B34" s="11">
        <f>WEEKNUM(Tabelle3510819[[#This Row],[Datum]])-1</f>
        <v>-1</v>
      </c>
    </row>
    <row r="35" spans="2:2" x14ac:dyDescent="0.25">
      <c r="B35" s="11">
        <f>WEEKNUM(Tabelle3510819[[#This Row],[Datum]])-1</f>
        <v>-1</v>
      </c>
    </row>
    <row r="36" spans="2:2" x14ac:dyDescent="0.25">
      <c r="B36" s="11">
        <f>WEEKNUM(Tabelle3510819[[#This Row],[Datum]])-1</f>
        <v>-1</v>
      </c>
    </row>
    <row r="37" spans="2:2" x14ac:dyDescent="0.25">
      <c r="B37" s="11">
        <f>WEEKNUM(Tabelle3510819[[#This Row],[Datum]])-1</f>
        <v>-1</v>
      </c>
    </row>
    <row r="38" spans="2:2" x14ac:dyDescent="0.25">
      <c r="B38" s="11">
        <f>WEEKNUM(Tabelle3510819[[#This Row],[Datum]])-1</f>
        <v>-1</v>
      </c>
    </row>
    <row r="39" spans="2:2" x14ac:dyDescent="0.25">
      <c r="B39" s="11">
        <f>WEEKNUM(Tabelle3510819[[#This Row],[Datum]])-1</f>
        <v>-1</v>
      </c>
    </row>
    <row r="40" spans="2:2" x14ac:dyDescent="0.25">
      <c r="B40" s="11">
        <f>WEEKNUM(Tabelle3510819[[#This Row],[Datum]])-1</f>
        <v>-1</v>
      </c>
    </row>
    <row r="41" spans="2:2" x14ac:dyDescent="0.25">
      <c r="B41" s="11">
        <f>WEEKNUM(Tabelle3510819[[#This Row],[Datum]])-1</f>
        <v>-1</v>
      </c>
    </row>
    <row r="42" spans="2:2" x14ac:dyDescent="0.25">
      <c r="B42" s="11">
        <f>WEEKNUM(Tabelle3510819[[#This Row],[Datum]])-1</f>
        <v>-1</v>
      </c>
    </row>
    <row r="43" spans="2:2" x14ac:dyDescent="0.25">
      <c r="B43" s="11">
        <f>WEEKNUM(Tabelle3510819[[#This Row],[Datum]])-1</f>
        <v>-1</v>
      </c>
    </row>
    <row r="44" spans="2:2" x14ac:dyDescent="0.25">
      <c r="B44" s="11">
        <f>WEEKNUM(Tabelle3510819[[#This Row],[Datum]])-1</f>
        <v>-1</v>
      </c>
    </row>
    <row r="45" spans="2:2" x14ac:dyDescent="0.25">
      <c r="B45" s="11">
        <f>WEEKNUM(Tabelle3510819[[#This Row],[Datum]])-1</f>
        <v>-1</v>
      </c>
    </row>
    <row r="46" spans="2:2" x14ac:dyDescent="0.25">
      <c r="B46" s="11">
        <f>WEEKNUM(Tabelle3510819[[#This Row],[Datum]])-1</f>
        <v>-1</v>
      </c>
    </row>
    <row r="47" spans="2:2" x14ac:dyDescent="0.25">
      <c r="B47" s="11">
        <f>WEEKNUM(Tabelle3510819[[#This Row],[Datum]])-1</f>
        <v>-1</v>
      </c>
    </row>
    <row r="48" spans="2:2" x14ac:dyDescent="0.25">
      <c r="B48" s="11">
        <f>WEEKNUM(Tabelle3510819[[#This Row],[Datum]])-1</f>
        <v>-1</v>
      </c>
    </row>
    <row r="49" spans="2:2" x14ac:dyDescent="0.25">
      <c r="B49" s="11">
        <f>WEEKNUM(Tabelle3510819[[#This Row],[Datum]])-1</f>
        <v>-1</v>
      </c>
    </row>
    <row r="50" spans="2:2" x14ac:dyDescent="0.25">
      <c r="B50" s="11">
        <f>WEEKNUM(Tabelle3510819[[#This Row],[Datum]])-1</f>
        <v>-1</v>
      </c>
    </row>
    <row r="51" spans="2:2" x14ac:dyDescent="0.25">
      <c r="B51" s="11">
        <f>WEEKNUM(Tabelle3510819[[#This Row],[Datum]])-1</f>
        <v>-1</v>
      </c>
    </row>
    <row r="52" spans="2:2" x14ac:dyDescent="0.25">
      <c r="B52" s="11">
        <f>WEEKNUM(Tabelle3510819[[#This Row],[Datum]])-1</f>
        <v>-1</v>
      </c>
    </row>
    <row r="53" spans="2:2" x14ac:dyDescent="0.25">
      <c r="B53" s="11">
        <f>WEEKNUM(Tabelle3510819[[#This Row],[Datum]])-1</f>
        <v>-1</v>
      </c>
    </row>
    <row r="54" spans="2:2" x14ac:dyDescent="0.25">
      <c r="B54" s="11">
        <f>WEEKNUM(Tabelle3510819[[#This Row],[Datum]])-1</f>
        <v>-1</v>
      </c>
    </row>
    <row r="55" spans="2:2" x14ac:dyDescent="0.25">
      <c r="B55" s="11">
        <f>WEEKNUM(Tabelle3510819[[#This Row],[Datum]])-1</f>
        <v>-1</v>
      </c>
    </row>
    <row r="56" spans="2:2" x14ac:dyDescent="0.25">
      <c r="B56" s="11">
        <f>WEEKNUM(Tabelle3510819[[#This Row],[Datum]])-1</f>
        <v>-1</v>
      </c>
    </row>
    <row r="57" spans="2:2" x14ac:dyDescent="0.25">
      <c r="B57" s="11">
        <f>WEEKNUM(Tabelle3510819[[#This Row],[Datum]])-1</f>
        <v>-1</v>
      </c>
    </row>
    <row r="58" spans="2:2" x14ac:dyDescent="0.25">
      <c r="B58" s="11">
        <f>WEEKNUM(Tabelle3510819[[#This Row],[Datum]])-1</f>
        <v>-1</v>
      </c>
    </row>
    <row r="59" spans="2:2" x14ac:dyDescent="0.25">
      <c r="B59" s="11">
        <f>WEEKNUM(Tabelle3510819[[#This Row],[Datum]])-1</f>
        <v>-1</v>
      </c>
    </row>
    <row r="60" spans="2:2" x14ac:dyDescent="0.25">
      <c r="B60" s="11">
        <f>WEEKNUM(Tabelle3510819[[#This Row],[Datum]])-1</f>
        <v>-1</v>
      </c>
    </row>
    <row r="61" spans="2:2" x14ac:dyDescent="0.25">
      <c r="B61" s="11">
        <f>WEEKNUM(Tabelle3510819[[#This Row],[Datum]])-1</f>
        <v>-1</v>
      </c>
    </row>
    <row r="62" spans="2:2" x14ac:dyDescent="0.25">
      <c r="B62" s="11">
        <f>WEEKNUM(Tabelle3510819[[#This Row],[Datum]])-1</f>
        <v>-1</v>
      </c>
    </row>
    <row r="63" spans="2:2" x14ac:dyDescent="0.25">
      <c r="B63" s="11">
        <f>WEEKNUM(Tabelle3510819[[#This Row],[Datum]])-1</f>
        <v>-1</v>
      </c>
    </row>
    <row r="64" spans="2:2" x14ac:dyDescent="0.25">
      <c r="B64" s="11">
        <f>WEEKNUM(Tabelle3510819[[#This Row],[Datum]])-1</f>
        <v>-1</v>
      </c>
    </row>
    <row r="65" spans="2:2" x14ac:dyDescent="0.25">
      <c r="B65" s="11">
        <f>WEEKNUM(Tabelle3510819[[#This Row],[Datum]])-1</f>
        <v>-1</v>
      </c>
    </row>
    <row r="66" spans="2:2" x14ac:dyDescent="0.25">
      <c r="B66" s="11">
        <f>WEEKNUM(Tabelle3510819[[#This Row],[Datum]])-1</f>
        <v>-1</v>
      </c>
    </row>
    <row r="67" spans="2:2" x14ac:dyDescent="0.25">
      <c r="B67" s="11">
        <f>WEEKNUM(Tabelle3510819[[#This Row],[Datum]])-1</f>
        <v>-1</v>
      </c>
    </row>
    <row r="68" spans="2:2" x14ac:dyDescent="0.25">
      <c r="B68" s="11">
        <f>WEEKNUM(Tabelle3510819[[#This Row],[Datum]])-1</f>
        <v>-1</v>
      </c>
    </row>
    <row r="69" spans="2:2" x14ac:dyDescent="0.25">
      <c r="B69" s="11">
        <f>WEEKNUM(Tabelle3510819[[#This Row],[Datum]])-1</f>
        <v>-1</v>
      </c>
    </row>
    <row r="70" spans="2:2" x14ac:dyDescent="0.25">
      <c r="B70" s="11">
        <f>WEEKNUM(Tabelle3510819[[#This Row],[Datum]])-1</f>
        <v>-1</v>
      </c>
    </row>
    <row r="71" spans="2:2" x14ac:dyDescent="0.25">
      <c r="B71" s="11">
        <f>WEEKNUM(Tabelle3510819[[#This Row],[Datum]])-1</f>
        <v>-1</v>
      </c>
    </row>
    <row r="72" spans="2:2" x14ac:dyDescent="0.25">
      <c r="B72" s="11">
        <f>WEEKNUM(Tabelle3510819[[#This Row],[Datum]])-1</f>
        <v>-1</v>
      </c>
    </row>
    <row r="73" spans="2:2" x14ac:dyDescent="0.25">
      <c r="B73" s="11">
        <f>WEEKNUM(Tabelle3510819[[#This Row],[Datum]])-1</f>
        <v>-1</v>
      </c>
    </row>
    <row r="74" spans="2:2" x14ac:dyDescent="0.25">
      <c r="B74" s="11">
        <f>WEEKNUM(Tabelle3510819[[#This Row],[Datum]])-1</f>
        <v>-1</v>
      </c>
    </row>
    <row r="75" spans="2:2" x14ac:dyDescent="0.25">
      <c r="B75" s="11">
        <f>WEEKNUM(Tabelle3510819[[#This Row],[Datum]])-1</f>
        <v>-1</v>
      </c>
    </row>
    <row r="76" spans="2:2" x14ac:dyDescent="0.25">
      <c r="B76" s="11">
        <f>WEEKNUM(Tabelle3510819[[#This Row],[Datum]])-1</f>
        <v>-1</v>
      </c>
    </row>
    <row r="77" spans="2:2" x14ac:dyDescent="0.25">
      <c r="B77" s="11">
        <f>WEEKNUM(Tabelle3510819[[#This Row],[Datum]])-1</f>
        <v>-1</v>
      </c>
    </row>
    <row r="78" spans="2:2" x14ac:dyDescent="0.25">
      <c r="B78" s="11">
        <f>WEEKNUM(Tabelle3510819[[#This Row],[Datum]])-1</f>
        <v>-1</v>
      </c>
    </row>
    <row r="79" spans="2:2" x14ac:dyDescent="0.25">
      <c r="B79" s="11">
        <f>WEEKNUM(Tabelle3510819[[#This Row],[Datum]])-1</f>
        <v>-1</v>
      </c>
    </row>
    <row r="80" spans="2:2" x14ac:dyDescent="0.25">
      <c r="B80" s="11">
        <f>WEEKNUM(Tabelle3510819[[#This Row],[Datum]])-1</f>
        <v>-1</v>
      </c>
    </row>
    <row r="81" spans="2:5" x14ac:dyDescent="0.25">
      <c r="B81" s="11">
        <f>WEEKNUM(Tabelle3510819[[#This Row],[Datum]])-1</f>
        <v>-1</v>
      </c>
    </row>
    <row r="82" spans="2:5" x14ac:dyDescent="0.25">
      <c r="B82" s="11">
        <f>WEEKNUM(Tabelle3510819[[#This Row],[Datum]])-1</f>
        <v>-1</v>
      </c>
    </row>
    <row r="83" spans="2:5" x14ac:dyDescent="0.25">
      <c r="B83" s="13"/>
      <c r="C83" s="8" t="s">
        <v>0</v>
      </c>
      <c r="E83">
        <f>SUBTOTAL(109,Tabelle3510819[Aufwand
(in h)])</f>
        <v>63</v>
      </c>
    </row>
  </sheetData>
  <pageMargins left="0.7" right="0.7" top="0.78740157499999996" bottom="0.78740157499999996" header="0.3" footer="0.3"/>
  <pageSetup paperSize="9" orientation="landscape" r:id="rId1"/>
  <tableParts count="2">
    <tablePart r:id="rId2"/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 tint="-0.499984740745262"/>
  </sheetPr>
  <dimension ref="A1:E94"/>
  <sheetViews>
    <sheetView zoomScale="90" zoomScaleNormal="90" workbookViewId="0">
      <selection activeCell="H13" sqref="H13"/>
    </sheetView>
  </sheetViews>
  <sheetFormatPr baseColWidth="10" defaultColWidth="11.42578125" defaultRowHeight="15" x14ac:dyDescent="0.25"/>
  <cols>
    <col min="1" max="1" width="15.42578125" style="1" customWidth="1"/>
    <col min="2" max="2" width="15.7109375" style="1" customWidth="1"/>
    <col min="3" max="3" width="14.5703125" style="6" customWidth="1"/>
    <col min="4" max="4" width="44.140625" style="3" customWidth="1"/>
    <col min="5" max="5" width="8.7109375" customWidth="1"/>
  </cols>
  <sheetData>
    <row r="1" spans="1:5" ht="26.25" x14ac:dyDescent="0.4">
      <c r="A1" s="9" t="s">
        <v>7</v>
      </c>
      <c r="B1" s="2"/>
      <c r="D1" s="10"/>
    </row>
    <row r="2" spans="1:5" x14ac:dyDescent="0.25">
      <c r="A2" t="s">
        <v>5</v>
      </c>
      <c r="B2" t="s">
        <v>6</v>
      </c>
    </row>
    <row r="3" spans="1:5" x14ac:dyDescent="0.25">
      <c r="A3" s="1" t="str">
        <f>B6</f>
        <v>Remy Lam</v>
      </c>
      <c r="B3">
        <f>Tabelle3510821[[#Totals],[Aufwand
(in h)]]</f>
        <v>58.5</v>
      </c>
      <c r="D3" s="6"/>
    </row>
    <row r="6" spans="1:5" x14ac:dyDescent="0.25">
      <c r="B6" s="15" t="s">
        <v>12</v>
      </c>
      <c r="C6" s="3"/>
      <c r="D6"/>
    </row>
    <row r="7" spans="1:5" ht="45" x14ac:dyDescent="0.25">
      <c r="A7" s="4"/>
      <c r="B7" s="12" t="s">
        <v>8</v>
      </c>
      <c r="C7" s="7" t="s">
        <v>2</v>
      </c>
      <c r="D7" s="5" t="s">
        <v>3</v>
      </c>
      <c r="E7" s="5" t="s">
        <v>4</v>
      </c>
    </row>
    <row r="8" spans="1:5" x14ac:dyDescent="0.25">
      <c r="B8" s="14">
        <f>WEEKNUM(Tabelle3510821[[#This Row],[Datum]])-1</f>
        <v>38</v>
      </c>
      <c r="C8" s="7">
        <v>42634</v>
      </c>
      <c r="D8" s="4" t="s">
        <v>17</v>
      </c>
      <c r="E8" s="5">
        <v>4</v>
      </c>
    </row>
    <row r="9" spans="1:5" x14ac:dyDescent="0.25">
      <c r="B9" s="11">
        <f>WEEKNUM(Tabelle3510821[[#This Row],[Datum]])-1</f>
        <v>39</v>
      </c>
      <c r="C9" s="6">
        <v>42641</v>
      </c>
      <c r="D9" s="3" t="s">
        <v>37</v>
      </c>
      <c r="E9">
        <v>4</v>
      </c>
    </row>
    <row r="10" spans="1:5" x14ac:dyDescent="0.25">
      <c r="B10" s="11">
        <f>WEEKNUM(Tabelle3510821[[#This Row],[Datum]])-1</f>
        <v>36</v>
      </c>
      <c r="C10" s="6">
        <v>42617</v>
      </c>
      <c r="D10" s="3" t="s">
        <v>51</v>
      </c>
      <c r="E10">
        <v>2.5</v>
      </c>
    </row>
    <row r="11" spans="1:5" x14ac:dyDescent="0.25">
      <c r="B11" s="11">
        <f>WEEKNUM(Tabelle3510821[[#This Row],[Datum]])-1</f>
        <v>40</v>
      </c>
      <c r="C11" s="6">
        <v>42648</v>
      </c>
      <c r="D11" s="3" t="s">
        <v>13</v>
      </c>
      <c r="E11">
        <v>3</v>
      </c>
    </row>
    <row r="12" spans="1:5" x14ac:dyDescent="0.25">
      <c r="B12" s="11">
        <f>WEEKNUM(Tabelle3510821[[#This Row],[Datum]])-1</f>
        <v>40</v>
      </c>
      <c r="C12" s="6">
        <v>42648</v>
      </c>
      <c r="D12" s="3" t="s">
        <v>19</v>
      </c>
      <c r="E12">
        <v>4</v>
      </c>
    </row>
    <row r="13" spans="1:5" x14ac:dyDescent="0.25">
      <c r="B13" s="14">
        <f>WEEKNUM(Tabelle3510821[[#This Row],[Datum]])-1</f>
        <v>40</v>
      </c>
      <c r="C13" s="7">
        <v>42649</v>
      </c>
      <c r="D13" s="5" t="s">
        <v>14</v>
      </c>
      <c r="E13" s="5">
        <v>2</v>
      </c>
    </row>
    <row r="14" spans="1:5" ht="45" x14ac:dyDescent="0.25">
      <c r="B14" s="14">
        <f>WEEKNUM(Tabelle3510821[[#This Row],[Datum]])-1</f>
        <v>41</v>
      </c>
      <c r="C14" s="7">
        <v>42655</v>
      </c>
      <c r="D14" s="5" t="s">
        <v>38</v>
      </c>
      <c r="E14" s="5">
        <v>4</v>
      </c>
    </row>
    <row r="15" spans="1:5" ht="30" x14ac:dyDescent="0.25">
      <c r="B15" s="11">
        <f>WEEKNUM(Tabelle3510821[[#This Row],[Datum]])-1</f>
        <v>42</v>
      </c>
      <c r="C15" s="6">
        <v>42662</v>
      </c>
      <c r="D15" s="3" t="s">
        <v>23</v>
      </c>
      <c r="E15">
        <v>4</v>
      </c>
    </row>
    <row r="16" spans="1:5" x14ac:dyDescent="0.25">
      <c r="B16" s="11">
        <f>WEEKNUM(Tabelle3510821[[#This Row],[Datum]])-1</f>
        <v>42</v>
      </c>
      <c r="C16" s="6">
        <v>42663</v>
      </c>
      <c r="D16" s="3" t="s">
        <v>15</v>
      </c>
      <c r="E16">
        <v>2</v>
      </c>
    </row>
    <row r="17" spans="2:5" ht="30" x14ac:dyDescent="0.25">
      <c r="B17" s="11">
        <f>WEEKNUM(Tabelle3510821[[#This Row],[Datum]])-1</f>
        <v>43</v>
      </c>
      <c r="C17" s="6">
        <v>42669</v>
      </c>
      <c r="D17" s="3" t="s">
        <v>39</v>
      </c>
      <c r="E17">
        <v>4</v>
      </c>
    </row>
    <row r="18" spans="2:5" x14ac:dyDescent="0.25">
      <c r="B18" s="11">
        <f>WEEKNUM(Tabelle3510821[[#This Row],[Datum]])-1</f>
        <v>43</v>
      </c>
      <c r="C18" s="6">
        <v>42670</v>
      </c>
      <c r="D18" s="3" t="s">
        <v>40</v>
      </c>
      <c r="E18">
        <v>3</v>
      </c>
    </row>
    <row r="19" spans="2:5" x14ac:dyDescent="0.25">
      <c r="B19" s="11">
        <f>WEEKNUM(Tabelle3510821[[#This Row],[Datum]])-1</f>
        <v>44</v>
      </c>
      <c r="C19" s="6">
        <v>42674</v>
      </c>
      <c r="D19" s="3" t="s">
        <v>16</v>
      </c>
      <c r="E19">
        <v>2</v>
      </c>
    </row>
    <row r="20" spans="2:5" x14ac:dyDescent="0.25">
      <c r="B20" s="11">
        <f>WEEKNUM(Tabelle3510821[[#This Row],[Datum]])-1</f>
        <v>44</v>
      </c>
      <c r="C20" s="6">
        <v>42676</v>
      </c>
      <c r="D20" s="3" t="s">
        <v>27</v>
      </c>
      <c r="E20">
        <v>4</v>
      </c>
    </row>
    <row r="21" spans="2:5" x14ac:dyDescent="0.25">
      <c r="B21" s="11">
        <f>WEEKNUM(Tabelle3510821[[#This Row],[Datum]])-1</f>
        <v>44</v>
      </c>
      <c r="C21" s="6">
        <v>42679</v>
      </c>
      <c r="D21" s="3" t="s">
        <v>41</v>
      </c>
      <c r="E21">
        <v>5</v>
      </c>
    </row>
    <row r="22" spans="2:5" x14ac:dyDescent="0.25">
      <c r="B22" s="11">
        <f>WEEKNUM(Tabelle3510821[[#This Row],[Datum]])-1</f>
        <v>45</v>
      </c>
      <c r="C22" s="6">
        <v>42683</v>
      </c>
      <c r="D22" s="3" t="s">
        <v>29</v>
      </c>
      <c r="E22">
        <v>4</v>
      </c>
    </row>
    <row r="23" spans="2:5" x14ac:dyDescent="0.25">
      <c r="B23" s="11">
        <f>WEEKNUM(Tabelle3510821[[#This Row],[Datum]])-1</f>
        <v>46</v>
      </c>
      <c r="C23" s="6">
        <v>42690</v>
      </c>
      <c r="D23" s="3" t="s">
        <v>30</v>
      </c>
      <c r="E23">
        <v>2</v>
      </c>
    </row>
    <row r="24" spans="2:5" x14ac:dyDescent="0.25">
      <c r="B24" s="11">
        <f>WEEKNUM(Tabelle3510821[[#This Row],[Datum]])-1</f>
        <v>46</v>
      </c>
      <c r="C24" s="6">
        <v>42690</v>
      </c>
      <c r="D24" s="3" t="s">
        <v>42</v>
      </c>
      <c r="E24">
        <v>1</v>
      </c>
    </row>
    <row r="25" spans="2:5" x14ac:dyDescent="0.25">
      <c r="B25" s="11">
        <f>WEEKNUM(Tabelle3510821[[#This Row],[Datum]])-1</f>
        <v>46</v>
      </c>
      <c r="C25" s="6">
        <v>42690</v>
      </c>
      <c r="D25" s="3" t="s">
        <v>31</v>
      </c>
      <c r="E25">
        <v>4</v>
      </c>
    </row>
    <row r="26" spans="2:5" x14ac:dyDescent="0.25">
      <c r="B26" s="11">
        <f>WEEKNUM(Tabelle3510821[[#This Row],[Datum]])-1</f>
        <v>-1</v>
      </c>
    </row>
    <row r="27" spans="2:5" x14ac:dyDescent="0.25">
      <c r="B27" s="11">
        <f>WEEKNUM(Tabelle3510821[[#This Row],[Datum]])-1</f>
        <v>-1</v>
      </c>
    </row>
    <row r="28" spans="2:5" x14ac:dyDescent="0.25">
      <c r="B28" s="11">
        <f>WEEKNUM(Tabelle3510821[[#This Row],[Datum]])-1</f>
        <v>-1</v>
      </c>
    </row>
    <row r="29" spans="2:5" x14ac:dyDescent="0.25">
      <c r="B29" s="11">
        <f>WEEKNUM(Tabelle3510821[[#This Row],[Datum]])-1</f>
        <v>-1</v>
      </c>
    </row>
    <row r="30" spans="2:5" x14ac:dyDescent="0.25">
      <c r="B30" s="11">
        <f>WEEKNUM(Tabelle3510821[[#This Row],[Datum]])-1</f>
        <v>-1</v>
      </c>
    </row>
    <row r="31" spans="2:5" x14ac:dyDescent="0.25">
      <c r="B31" s="11">
        <f>WEEKNUM(Tabelle3510821[[#This Row],[Datum]])-1</f>
        <v>-1</v>
      </c>
    </row>
    <row r="32" spans="2:5" x14ac:dyDescent="0.25">
      <c r="B32" s="11">
        <f>WEEKNUM(Tabelle3510821[[#This Row],[Datum]])-1</f>
        <v>-1</v>
      </c>
    </row>
    <row r="33" spans="2:2" x14ac:dyDescent="0.25">
      <c r="B33" s="11">
        <f>WEEKNUM(Tabelle3510821[[#This Row],[Datum]])-1</f>
        <v>-1</v>
      </c>
    </row>
    <row r="34" spans="2:2" x14ac:dyDescent="0.25">
      <c r="B34" s="11">
        <f>WEEKNUM(Tabelle3510821[[#This Row],[Datum]])-1</f>
        <v>-1</v>
      </c>
    </row>
    <row r="35" spans="2:2" x14ac:dyDescent="0.25">
      <c r="B35" s="11">
        <f>WEEKNUM(Tabelle3510821[[#This Row],[Datum]])-1</f>
        <v>-1</v>
      </c>
    </row>
    <row r="36" spans="2:2" x14ac:dyDescent="0.25">
      <c r="B36" s="11">
        <f>WEEKNUM(Tabelle3510821[[#This Row],[Datum]])-1</f>
        <v>-1</v>
      </c>
    </row>
    <row r="37" spans="2:2" x14ac:dyDescent="0.25">
      <c r="B37" s="11">
        <f>WEEKNUM(Tabelle3510821[[#This Row],[Datum]])-1</f>
        <v>-1</v>
      </c>
    </row>
    <row r="38" spans="2:2" x14ac:dyDescent="0.25">
      <c r="B38" s="11">
        <f>WEEKNUM(Tabelle3510821[[#This Row],[Datum]])-1</f>
        <v>-1</v>
      </c>
    </row>
    <row r="39" spans="2:2" x14ac:dyDescent="0.25">
      <c r="B39" s="11">
        <f>WEEKNUM(Tabelle3510821[[#This Row],[Datum]])-1</f>
        <v>-1</v>
      </c>
    </row>
    <row r="40" spans="2:2" x14ac:dyDescent="0.25">
      <c r="B40" s="11">
        <f>WEEKNUM(Tabelle3510821[[#This Row],[Datum]])-1</f>
        <v>-1</v>
      </c>
    </row>
    <row r="41" spans="2:2" x14ac:dyDescent="0.25">
      <c r="B41" s="11">
        <f>WEEKNUM(Tabelle3510821[[#This Row],[Datum]])-1</f>
        <v>-1</v>
      </c>
    </row>
    <row r="42" spans="2:2" x14ac:dyDescent="0.25">
      <c r="B42" s="11">
        <f>WEEKNUM(Tabelle3510821[[#This Row],[Datum]])-1</f>
        <v>-1</v>
      </c>
    </row>
    <row r="43" spans="2:2" x14ac:dyDescent="0.25">
      <c r="B43" s="11">
        <f>WEEKNUM(Tabelle3510821[[#This Row],[Datum]])-1</f>
        <v>-1</v>
      </c>
    </row>
    <row r="44" spans="2:2" x14ac:dyDescent="0.25">
      <c r="B44" s="11">
        <f>WEEKNUM(Tabelle3510821[[#This Row],[Datum]])-1</f>
        <v>-1</v>
      </c>
    </row>
    <row r="45" spans="2:2" x14ac:dyDescent="0.25">
      <c r="B45" s="11">
        <f>WEEKNUM(Tabelle3510821[[#This Row],[Datum]])-1</f>
        <v>-1</v>
      </c>
    </row>
    <row r="46" spans="2:2" x14ac:dyDescent="0.25">
      <c r="B46" s="11">
        <f>WEEKNUM(Tabelle3510821[[#This Row],[Datum]])-1</f>
        <v>-1</v>
      </c>
    </row>
    <row r="47" spans="2:2" x14ac:dyDescent="0.25">
      <c r="B47" s="11">
        <f>WEEKNUM(Tabelle3510821[[#This Row],[Datum]])-1</f>
        <v>-1</v>
      </c>
    </row>
    <row r="48" spans="2:2" x14ac:dyDescent="0.25">
      <c r="B48" s="11">
        <f>WEEKNUM(Tabelle3510821[[#This Row],[Datum]])-1</f>
        <v>-1</v>
      </c>
    </row>
    <row r="49" spans="2:2" x14ac:dyDescent="0.25">
      <c r="B49" s="11">
        <f>WEEKNUM(Tabelle3510821[[#This Row],[Datum]])-1</f>
        <v>-1</v>
      </c>
    </row>
    <row r="50" spans="2:2" x14ac:dyDescent="0.25">
      <c r="B50" s="11">
        <f>WEEKNUM(Tabelle3510821[[#This Row],[Datum]])-1</f>
        <v>-1</v>
      </c>
    </row>
    <row r="51" spans="2:2" x14ac:dyDescent="0.25">
      <c r="B51" s="11">
        <f>WEEKNUM(Tabelle3510821[[#This Row],[Datum]])-1</f>
        <v>-1</v>
      </c>
    </row>
    <row r="52" spans="2:2" x14ac:dyDescent="0.25">
      <c r="B52" s="11">
        <f>WEEKNUM(Tabelle3510821[[#This Row],[Datum]])-1</f>
        <v>-1</v>
      </c>
    </row>
    <row r="53" spans="2:2" x14ac:dyDescent="0.25">
      <c r="B53" s="11">
        <f>WEEKNUM(Tabelle3510821[[#This Row],[Datum]])-1</f>
        <v>-1</v>
      </c>
    </row>
    <row r="54" spans="2:2" x14ac:dyDescent="0.25">
      <c r="B54" s="11">
        <f>WEEKNUM(Tabelle3510821[[#This Row],[Datum]])-1</f>
        <v>-1</v>
      </c>
    </row>
    <row r="55" spans="2:2" x14ac:dyDescent="0.25">
      <c r="B55" s="11">
        <f>WEEKNUM(Tabelle3510821[[#This Row],[Datum]])-1</f>
        <v>-1</v>
      </c>
    </row>
    <row r="56" spans="2:2" x14ac:dyDescent="0.25">
      <c r="B56" s="11">
        <f>WEEKNUM(Tabelle3510821[[#This Row],[Datum]])-1</f>
        <v>-1</v>
      </c>
    </row>
    <row r="57" spans="2:2" x14ac:dyDescent="0.25">
      <c r="B57" s="11">
        <f>WEEKNUM(Tabelle3510821[[#This Row],[Datum]])-1</f>
        <v>-1</v>
      </c>
    </row>
    <row r="58" spans="2:2" x14ac:dyDescent="0.25">
      <c r="B58" s="11">
        <f>WEEKNUM(Tabelle3510821[[#This Row],[Datum]])-1</f>
        <v>-1</v>
      </c>
    </row>
    <row r="59" spans="2:2" x14ac:dyDescent="0.25">
      <c r="B59" s="11">
        <f>WEEKNUM(Tabelle3510821[[#This Row],[Datum]])-1</f>
        <v>-1</v>
      </c>
    </row>
    <row r="60" spans="2:2" x14ac:dyDescent="0.25">
      <c r="B60" s="11">
        <f>WEEKNUM(Tabelle3510821[[#This Row],[Datum]])-1</f>
        <v>-1</v>
      </c>
    </row>
    <row r="61" spans="2:2" x14ac:dyDescent="0.25">
      <c r="B61" s="11">
        <f>WEEKNUM(Tabelle3510821[[#This Row],[Datum]])-1</f>
        <v>-1</v>
      </c>
    </row>
    <row r="62" spans="2:2" x14ac:dyDescent="0.25">
      <c r="B62" s="11">
        <f>WEEKNUM(Tabelle3510821[[#This Row],[Datum]])-1</f>
        <v>-1</v>
      </c>
    </row>
    <row r="63" spans="2:2" x14ac:dyDescent="0.25">
      <c r="B63" s="11">
        <f>WEEKNUM(Tabelle3510821[[#This Row],[Datum]])-1</f>
        <v>-1</v>
      </c>
    </row>
    <row r="64" spans="2:2" x14ac:dyDescent="0.25">
      <c r="B64" s="11">
        <f>WEEKNUM(Tabelle3510821[[#This Row],[Datum]])-1</f>
        <v>-1</v>
      </c>
    </row>
    <row r="65" spans="2:2" x14ac:dyDescent="0.25">
      <c r="B65" s="11">
        <f>WEEKNUM(Tabelle3510821[[#This Row],[Datum]])-1</f>
        <v>-1</v>
      </c>
    </row>
    <row r="66" spans="2:2" x14ac:dyDescent="0.25">
      <c r="B66" s="11">
        <f>WEEKNUM(Tabelle3510821[[#This Row],[Datum]])-1</f>
        <v>-1</v>
      </c>
    </row>
    <row r="67" spans="2:2" x14ac:dyDescent="0.25">
      <c r="B67" s="11">
        <f>WEEKNUM(Tabelle3510821[[#This Row],[Datum]])-1</f>
        <v>-1</v>
      </c>
    </row>
    <row r="68" spans="2:2" x14ac:dyDescent="0.25">
      <c r="B68" s="11">
        <f>WEEKNUM(Tabelle3510821[[#This Row],[Datum]])-1</f>
        <v>-1</v>
      </c>
    </row>
    <row r="69" spans="2:2" x14ac:dyDescent="0.25">
      <c r="B69" s="11">
        <f>WEEKNUM(Tabelle3510821[[#This Row],[Datum]])-1</f>
        <v>-1</v>
      </c>
    </row>
    <row r="70" spans="2:2" x14ac:dyDescent="0.25">
      <c r="B70" s="11">
        <f>WEEKNUM(Tabelle3510821[[#This Row],[Datum]])-1</f>
        <v>-1</v>
      </c>
    </row>
    <row r="71" spans="2:2" x14ac:dyDescent="0.25">
      <c r="B71" s="11">
        <f>WEEKNUM(Tabelle3510821[[#This Row],[Datum]])-1</f>
        <v>-1</v>
      </c>
    </row>
    <row r="72" spans="2:2" x14ac:dyDescent="0.25">
      <c r="B72" s="11">
        <f>WEEKNUM(Tabelle3510821[[#This Row],[Datum]])-1</f>
        <v>-1</v>
      </c>
    </row>
    <row r="73" spans="2:2" x14ac:dyDescent="0.25">
      <c r="B73" s="11">
        <f>WEEKNUM(Tabelle3510821[[#This Row],[Datum]])-1</f>
        <v>-1</v>
      </c>
    </row>
    <row r="74" spans="2:2" x14ac:dyDescent="0.25">
      <c r="B74" s="11">
        <f>WEEKNUM(Tabelle3510821[[#This Row],[Datum]])-1</f>
        <v>-1</v>
      </c>
    </row>
    <row r="75" spans="2:2" x14ac:dyDescent="0.25">
      <c r="B75" s="11">
        <f>WEEKNUM(Tabelle3510821[[#This Row],[Datum]])-1</f>
        <v>-1</v>
      </c>
    </row>
    <row r="76" spans="2:2" x14ac:dyDescent="0.25">
      <c r="B76" s="11">
        <f>WEEKNUM(Tabelle3510821[[#This Row],[Datum]])-1</f>
        <v>-1</v>
      </c>
    </row>
    <row r="77" spans="2:2" x14ac:dyDescent="0.25">
      <c r="B77" s="11">
        <f>WEEKNUM(Tabelle3510821[[#This Row],[Datum]])-1</f>
        <v>-1</v>
      </c>
    </row>
    <row r="78" spans="2:2" x14ac:dyDescent="0.25">
      <c r="B78" s="11">
        <f>WEEKNUM(Tabelle3510821[[#This Row],[Datum]])-1</f>
        <v>-1</v>
      </c>
    </row>
    <row r="79" spans="2:2" x14ac:dyDescent="0.25">
      <c r="B79" s="11">
        <f>WEEKNUM(Tabelle3510821[[#This Row],[Datum]])-1</f>
        <v>-1</v>
      </c>
    </row>
    <row r="80" spans="2:2" x14ac:dyDescent="0.25">
      <c r="B80" s="11">
        <f>WEEKNUM(Tabelle3510821[[#This Row],[Datum]])-1</f>
        <v>-1</v>
      </c>
    </row>
    <row r="81" spans="2:5" x14ac:dyDescent="0.25">
      <c r="B81" s="11">
        <f>WEEKNUM(Tabelle3510821[[#This Row],[Datum]])-1</f>
        <v>-1</v>
      </c>
    </row>
    <row r="82" spans="2:5" x14ac:dyDescent="0.25">
      <c r="B82" s="11">
        <f>WEEKNUM(Tabelle3510821[[#This Row],[Datum]])-1</f>
        <v>-1</v>
      </c>
    </row>
    <row r="83" spans="2:5" x14ac:dyDescent="0.25">
      <c r="B83" s="11">
        <f>WEEKNUM(Tabelle3510821[[#This Row],[Datum]])-1</f>
        <v>-1</v>
      </c>
    </row>
    <row r="84" spans="2:5" x14ac:dyDescent="0.25">
      <c r="B84" s="11">
        <f>WEEKNUM(Tabelle3510821[[#This Row],[Datum]])-1</f>
        <v>-1</v>
      </c>
    </row>
    <row r="85" spans="2:5" x14ac:dyDescent="0.25">
      <c r="B85" s="11">
        <f>WEEKNUM(Tabelle3510821[[#This Row],[Datum]])-1</f>
        <v>-1</v>
      </c>
    </row>
    <row r="86" spans="2:5" x14ac:dyDescent="0.25">
      <c r="B86" s="11">
        <f>WEEKNUM(Tabelle3510821[[#This Row],[Datum]])-1</f>
        <v>-1</v>
      </c>
    </row>
    <row r="87" spans="2:5" x14ac:dyDescent="0.25">
      <c r="B87" s="11">
        <f>WEEKNUM(Tabelle3510821[[#This Row],[Datum]])-1</f>
        <v>-1</v>
      </c>
    </row>
    <row r="88" spans="2:5" x14ac:dyDescent="0.25">
      <c r="B88" s="11">
        <f>WEEKNUM(Tabelle3510821[[#This Row],[Datum]])-1</f>
        <v>-1</v>
      </c>
    </row>
    <row r="89" spans="2:5" x14ac:dyDescent="0.25">
      <c r="B89" s="11">
        <f>WEEKNUM(Tabelle3510821[[#This Row],[Datum]])-1</f>
        <v>-1</v>
      </c>
    </row>
    <row r="90" spans="2:5" x14ac:dyDescent="0.25">
      <c r="B90" s="11">
        <f>WEEKNUM(Tabelle3510821[[#This Row],[Datum]])-1</f>
        <v>-1</v>
      </c>
    </row>
    <row r="91" spans="2:5" x14ac:dyDescent="0.25">
      <c r="B91" s="11">
        <f>WEEKNUM(Tabelle3510821[[#This Row],[Datum]])-1</f>
        <v>-1</v>
      </c>
    </row>
    <row r="92" spans="2:5" x14ac:dyDescent="0.25">
      <c r="B92" s="11">
        <f>WEEKNUM(Tabelle3510821[[#This Row],[Datum]])-1</f>
        <v>-1</v>
      </c>
    </row>
    <row r="93" spans="2:5" x14ac:dyDescent="0.25">
      <c r="B93" s="11">
        <f>WEEKNUM(Tabelle3510821[[#This Row],[Datum]])-1</f>
        <v>-1</v>
      </c>
    </row>
    <row r="94" spans="2:5" x14ac:dyDescent="0.25">
      <c r="B94" s="13"/>
      <c r="C94" s="8" t="s">
        <v>0</v>
      </c>
      <c r="E94">
        <f>SUBTOTAL(109,Tabelle3510821[Aufwand
(in h)])</f>
        <v>58.5</v>
      </c>
    </row>
  </sheetData>
  <pageMargins left="0.7" right="0.7" top="0.78740157499999996" bottom="0.78740157499999996" header="0.3" footer="0.3"/>
  <pageSetup paperSize="9" orientation="landscape"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6</vt:i4>
      </vt:variant>
    </vt:vector>
  </HeadingPairs>
  <TitlesOfParts>
    <vt:vector size="6" baseType="lpstr">
      <vt:lpstr>Übersicht</vt:lpstr>
      <vt:lpstr>Gruppenübersicht</vt:lpstr>
      <vt:lpstr>Fabian Kammermann</vt:lpstr>
      <vt:lpstr>Pascal Dittli</vt:lpstr>
      <vt:lpstr>Patrick Jolo</vt:lpstr>
      <vt:lpstr>Remy Lam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Claudia</dc:creator>
  <cp:lastModifiedBy>hp</cp:lastModifiedBy>
  <cp:lastPrinted>2016-11-17T17:29:40Z</cp:lastPrinted>
  <dcterms:created xsi:type="dcterms:W3CDTF">2016-02-28T12:59:46Z</dcterms:created>
  <dcterms:modified xsi:type="dcterms:W3CDTF">2017-01-06T11:23:31Z</dcterms:modified>
</cp:coreProperties>
</file>