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/>
  <mc:AlternateContent xmlns:mc="http://schemas.openxmlformats.org/markup-compatibility/2006">
    <mc:Choice Requires="x15">
      <x15ac:absPath xmlns:x15ac="http://schemas.microsoft.com/office/spreadsheetml/2010/11/ac" url="C:\Users\fakaf_crsr2ev\Documents\BFH\BFH\Systems Engineering\Projekt\Dokumente Gruppe 6 (Dittli, Jolo, Kammermann, Lam)-20161117\02 Working Docs\"/>
    </mc:Choice>
  </mc:AlternateContent>
  <bookViews>
    <workbookView xWindow="0" yWindow="0" windowWidth="19200" windowHeight="6950"/>
  </bookViews>
  <sheets>
    <sheet name="Übersicht WP" sheetId="5" r:id="rId1"/>
    <sheet name="WP1 Tagesplaner" sheetId="3" r:id="rId2"/>
    <sheet name="WP2 Pflichtenheft" sheetId="6" r:id="rId3"/>
  </sheets>
  <calcPr calcId="162913"/>
</workbook>
</file>

<file path=xl/calcChain.xml><?xml version="1.0" encoding="utf-8"?>
<calcChain xmlns="http://schemas.openxmlformats.org/spreadsheetml/2006/main">
  <c r="F12" i="6" l="1"/>
  <c r="F15" i="6"/>
  <c r="F9" i="6"/>
  <c r="F10" i="6"/>
  <c r="F11" i="6"/>
  <c r="F13" i="6"/>
  <c r="F14" i="6"/>
  <c r="F10" i="3"/>
  <c r="F14" i="3"/>
  <c r="F13" i="3"/>
  <c r="F12" i="3"/>
  <c r="F11" i="3"/>
  <c r="F9" i="3"/>
  <c r="F32" i="6" l="1"/>
  <c r="F33" i="6" s="1"/>
  <c r="F31" i="3"/>
  <c r="E6" i="5" s="1"/>
  <c r="E7" i="5" l="1"/>
  <c r="E8" i="5" s="1"/>
  <c r="E14" i="5" s="1"/>
  <c r="C16" i="5" s="1"/>
  <c r="F32" i="3"/>
</calcChain>
</file>

<file path=xl/sharedStrings.xml><?xml version="1.0" encoding="utf-8"?>
<sst xmlns="http://schemas.openxmlformats.org/spreadsheetml/2006/main" count="103" uniqueCount="62">
  <si>
    <t>Work Package Description</t>
  </si>
  <si>
    <t>Author:</t>
  </si>
  <si>
    <t>Date:</t>
  </si>
  <si>
    <t>Input:</t>
  </si>
  <si>
    <t>Activities:</t>
  </si>
  <si>
    <t>Output:</t>
  </si>
  <si>
    <t>Parameters:</t>
  </si>
  <si>
    <t>Quality Assurance:</t>
  </si>
  <si>
    <t>WP Name:</t>
  </si>
  <si>
    <t>Required Resources:</t>
  </si>
  <si>
    <t>Required Skills:</t>
  </si>
  <si>
    <t>Amount/ Volume:</t>
  </si>
  <si>
    <t>Version:</t>
  </si>
  <si>
    <t>Methods &amp; Tools:</t>
  </si>
  <si>
    <t xml:space="preserve">   1.0</t>
  </si>
  <si>
    <t>Work Package Übersicht</t>
  </si>
  <si>
    <t>Effort in person h:</t>
  </si>
  <si>
    <t>Total Effort in mandays</t>
  </si>
  <si>
    <t>8 h = 1 MD 
("manday")</t>
  </si>
  <si>
    <t>Total Effort in person h:</t>
  </si>
  <si>
    <t>est. h per amount/vol.</t>
  </si>
  <si>
    <t>WP1</t>
  </si>
  <si>
    <t>WP2</t>
  </si>
  <si>
    <t>Total Aufwand Workpackages</t>
  </si>
  <si>
    <t>Allfälliger übriger Aufwand</t>
  </si>
  <si>
    <t xml:space="preserve">Kurzbezeichnung </t>
  </si>
  <si>
    <t>Aufwand (h):</t>
  </si>
  <si>
    <t xml:space="preserve">Total Aufwand in Stunden (h) </t>
  </si>
  <si>
    <t xml:space="preserve">Total Aufwand in Personentagen (1 PT = 8 h) </t>
  </si>
  <si>
    <t>Arbeitspaket</t>
  </si>
  <si>
    <t>Anzahl Stunden</t>
  </si>
  <si>
    <t>lamlr1, kammf1, jolop1, dittp2</t>
  </si>
  <si>
    <t>Pflichtenheft erstellen</t>
  </si>
  <si>
    <t>Lastenheft durchlesen</t>
  </si>
  <si>
    <t>realisierbare Punkte notieren</t>
  </si>
  <si>
    <t>Pflichtenheft zusammenstellen</t>
  </si>
  <si>
    <t>erneut gegenlesen lassen</t>
  </si>
  <si>
    <t>Pflichtenheft</t>
  </si>
  <si>
    <t>Exemplarische Beschreibung 2 Arbeitspakete Spitalinformationssystem</t>
  </si>
  <si>
    <t>MS Excel</t>
  </si>
  <si>
    <t>Tagesplaner</t>
  </si>
  <si>
    <t>Tagesplaner erstellen</t>
  </si>
  <si>
    <t>Kontrolle des Dokuments</t>
  </si>
  <si>
    <t>bearbeiteter und ausgefüllter Tagesplaner</t>
  </si>
  <si>
    <t>Dokument erstellen</t>
  </si>
  <si>
    <t>Dokument auf Fehler überprüfen</t>
  </si>
  <si>
    <t>Anpassungen/Korrekturen Dokument</t>
  </si>
  <si>
    <t>Vertiefete Kenntnisse von MS Excel</t>
  </si>
  <si>
    <t>Kenntnisse von MS Word</t>
  </si>
  <si>
    <t>MS Word</t>
  </si>
  <si>
    <t>Kontrolle des Dokuments intern durch andere Gruppenmitglieder.</t>
  </si>
  <si>
    <t xml:space="preserve">Fertiges Pflichtenheft, welches alle Anforderungen des Kunden beinhaltet, das zugleich aber realisierbar sein muss. Das Pflichtenheft dient dann als ein bindendes Dokument zwischen Auftraggeber und Auftragnehmer. </t>
  </si>
  <si>
    <t>Schlussredaktion/ Überprüfung</t>
  </si>
  <si>
    <t>Meeting mit Kunden (Präsentation) + Reisezeit</t>
  </si>
  <si>
    <t>Meeting (Präsentation)</t>
  </si>
  <si>
    <t>Überprüfung des Pflichtenheftes durch die Teammitglieder, sowie den Kunden.</t>
  </si>
  <si>
    <t>ggf. Verbesserungen anbringen</t>
  </si>
  <si>
    <t>Persönlicher Eintrag</t>
  </si>
  <si>
    <t xml:space="preserve">WP-Id: 3.1.2.1 </t>
  </si>
  <si>
    <t>WP-Id: 3.2.4.1</t>
  </si>
  <si>
    <t>WP1 -&gt; 3.1.2.1 Tagesplaner</t>
  </si>
  <si>
    <t>WP2 -&gt; 3.2.4.1 Pflichtenheft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</si>
</sst>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0.0"/>
  </numFmts>
  <fonts count="10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i/>
      <sz val="20"/>
      <color rgb="FF00B0F0"/>
      <name val="Arial"/>
      <family val="2"/>
    </font>
    <font>
      <b/>
      <i/>
      <sz val="10"/>
      <color rgb="FF00B0F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/>
    <xf numFmtId="0" fontId="1" fillId="0" borderId="5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left" indent="1"/>
    </xf>
    <xf numFmtId="0" fontId="3" fillId="0" borderId="11" xfId="0" applyFont="1" applyBorder="1" applyAlignment="1">
      <alignment horizontal="left" indent="1"/>
    </xf>
    <xf numFmtId="0" fontId="1" fillId="0" borderId="11" xfId="0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left" indent="1"/>
    </xf>
    <xf numFmtId="0" fontId="1" fillId="0" borderId="14" xfId="0" applyFont="1" applyBorder="1"/>
    <xf numFmtId="0" fontId="1" fillId="0" borderId="15" xfId="0" applyFont="1" applyBorder="1"/>
    <xf numFmtId="0" fontId="3" fillId="0" borderId="16" xfId="0" applyFont="1" applyBorder="1" applyAlignment="1">
      <alignment horizontal="left" indent="1"/>
    </xf>
    <xf numFmtId="0" fontId="1" fillId="0" borderId="17" xfId="0" applyFont="1" applyBorder="1"/>
    <xf numFmtId="0" fontId="3" fillId="0" borderId="18" xfId="0" applyFont="1" applyBorder="1" applyAlignment="1">
      <alignment horizontal="left" indent="1"/>
    </xf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 applyAlignment="1">
      <alignment horizontal="left" indent="1"/>
    </xf>
    <xf numFmtId="0" fontId="3" fillId="0" borderId="2" xfId="0" applyFont="1" applyBorder="1" applyAlignment="1">
      <alignment horizontal="left" indent="1"/>
    </xf>
    <xf numFmtId="0" fontId="3" fillId="0" borderId="4" xfId="0" quotePrefix="1" applyFont="1" applyBorder="1" applyAlignment="1"/>
    <xf numFmtId="0" fontId="1" fillId="0" borderId="22" xfId="0" applyFont="1" applyBorder="1" applyAlignment="1">
      <alignment horizontal="left" indent="1"/>
    </xf>
    <xf numFmtId="0" fontId="3" fillId="0" borderId="23" xfId="0" applyFont="1" applyBorder="1" applyAlignment="1">
      <alignment horizontal="left" indent="1"/>
    </xf>
    <xf numFmtId="164" fontId="3" fillId="0" borderId="24" xfId="0" applyNumberFormat="1" applyFont="1" applyBorder="1" applyAlignment="1">
      <alignment horizontal="left" indent="1"/>
    </xf>
    <xf numFmtId="0" fontId="1" fillId="0" borderId="25" xfId="0" applyFont="1" applyBorder="1" applyAlignment="1">
      <alignment horizontal="left" indent="1"/>
    </xf>
    <xf numFmtId="0" fontId="3" fillId="0" borderId="2" xfId="0" applyFont="1" applyBorder="1"/>
    <xf numFmtId="0" fontId="3" fillId="0" borderId="4" xfId="0" applyFont="1" applyBorder="1"/>
    <xf numFmtId="0" fontId="3" fillId="0" borderId="26" xfId="0" applyFont="1" applyBorder="1" applyAlignment="1">
      <alignment horizontal="left" indent="1"/>
    </xf>
    <xf numFmtId="0" fontId="3" fillId="0" borderId="6" xfId="0" applyFont="1" applyBorder="1" applyAlignment="1">
      <alignment horizontal="left" indent="1"/>
    </xf>
    <xf numFmtId="0" fontId="3" fillId="0" borderId="6" xfId="0" applyFont="1" applyBorder="1"/>
    <xf numFmtId="0" fontId="3" fillId="0" borderId="27" xfId="0" applyFont="1" applyBorder="1"/>
    <xf numFmtId="0" fontId="3" fillId="0" borderId="7" xfId="0" applyFont="1" applyBorder="1" applyAlignment="1">
      <alignment horizontal="left" indent="1"/>
    </xf>
    <xf numFmtId="0" fontId="3" fillId="0" borderId="7" xfId="0" applyFont="1" applyBorder="1"/>
    <xf numFmtId="0" fontId="3" fillId="0" borderId="28" xfId="0" applyFont="1" applyBorder="1"/>
    <xf numFmtId="0" fontId="3" fillId="0" borderId="1" xfId="0" applyFont="1" applyBorder="1" applyAlignment="1">
      <alignment horizontal="left" indent="1"/>
    </xf>
    <xf numFmtId="0" fontId="3" fillId="0" borderId="8" xfId="0" applyFont="1" applyBorder="1"/>
    <xf numFmtId="0" fontId="3" fillId="0" borderId="29" xfId="0" applyFont="1" applyBorder="1"/>
    <xf numFmtId="0" fontId="1" fillId="0" borderId="30" xfId="0" applyFont="1" applyBorder="1" applyAlignment="1">
      <alignment horizontal="left" indent="1"/>
    </xf>
    <xf numFmtId="0" fontId="2" fillId="0" borderId="9" xfId="0" applyFont="1" applyBorder="1" applyAlignment="1">
      <alignment horizontal="left" wrapText="1" indent="1"/>
    </xf>
    <xf numFmtId="0" fontId="2" fillId="0" borderId="4" xfId="0" applyFont="1" applyBorder="1" applyAlignment="1">
      <alignment horizontal="left" wrapText="1" indent="1"/>
    </xf>
    <xf numFmtId="0" fontId="3" fillId="0" borderId="31" xfId="0" applyFont="1" applyBorder="1"/>
    <xf numFmtId="0" fontId="3" fillId="0" borderId="32" xfId="0" applyFont="1" applyBorder="1"/>
    <xf numFmtId="0" fontId="1" fillId="0" borderId="33" xfId="0" applyFont="1" applyBorder="1" applyAlignment="1">
      <alignment horizontal="left" indent="1"/>
    </xf>
    <xf numFmtId="0" fontId="3" fillId="0" borderId="34" xfId="0" applyFont="1" applyBorder="1" applyAlignment="1">
      <alignment horizontal="left" indent="1"/>
    </xf>
    <xf numFmtId="0" fontId="3" fillId="0" borderId="34" xfId="0" applyFont="1" applyBorder="1"/>
    <xf numFmtId="0" fontId="3" fillId="0" borderId="35" xfId="0" applyFont="1" applyBorder="1"/>
    <xf numFmtId="0" fontId="3" fillId="0" borderId="31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23" xfId="0" applyFont="1" applyBorder="1" applyAlignment="1">
      <alignment horizontal="right"/>
    </xf>
    <xf numFmtId="0" fontId="2" fillId="0" borderId="2" xfId="0" applyFont="1" applyBorder="1" applyAlignment="1">
      <alignment horizontal="left" wrapText="1" indent="1"/>
    </xf>
    <xf numFmtId="0" fontId="1" fillId="0" borderId="37" xfId="0" applyFont="1" applyBorder="1"/>
    <xf numFmtId="0" fontId="0" fillId="0" borderId="38" xfId="0" applyBorder="1"/>
    <xf numFmtId="0" fontId="3" fillId="0" borderId="0" xfId="0" applyFont="1" applyAlignment="1">
      <alignment wrapText="1"/>
    </xf>
    <xf numFmtId="0" fontId="3" fillId="2" borderId="39" xfId="0" applyFont="1" applyFill="1" applyBorder="1" applyAlignment="1">
      <alignment vertical="center"/>
    </xf>
    <xf numFmtId="0" fontId="1" fillId="2" borderId="0" xfId="0" applyFont="1" applyFill="1"/>
    <xf numFmtId="0" fontId="8" fillId="2" borderId="0" xfId="0" applyFont="1" applyFill="1" applyAlignment="1">
      <alignment horizontal="left"/>
    </xf>
    <xf numFmtId="0" fontId="6" fillId="0" borderId="0" xfId="0" applyFont="1"/>
    <xf numFmtId="0" fontId="1" fillId="0" borderId="36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42" xfId="0" applyFont="1" applyBorder="1"/>
    <xf numFmtId="0" fontId="3" fillId="0" borderId="13" xfId="0" applyFont="1" applyBorder="1" applyAlignment="1">
      <alignment horizontal="left" indent="1"/>
    </xf>
    <xf numFmtId="0" fontId="3" fillId="0" borderId="40" xfId="0" applyFont="1" applyBorder="1" applyAlignment="1">
      <alignment horizontal="left" indent="1"/>
    </xf>
    <xf numFmtId="0" fontId="1" fillId="0" borderId="43" xfId="0" applyFont="1" applyBorder="1"/>
    <xf numFmtId="0" fontId="3" fillId="0" borderId="44" xfId="0" applyFont="1" applyBorder="1"/>
    <xf numFmtId="0" fontId="1" fillId="3" borderId="40" xfId="0" applyFont="1" applyFill="1" applyBorder="1" applyAlignment="1">
      <alignment horizontal="left" indent="1"/>
    </xf>
    <xf numFmtId="0" fontId="1" fillId="3" borderId="43" xfId="0" applyFont="1" applyFill="1" applyBorder="1"/>
    <xf numFmtId="0" fontId="1" fillId="3" borderId="44" xfId="0" applyFont="1" applyFill="1" applyBorder="1"/>
    <xf numFmtId="0" fontId="3" fillId="0" borderId="25" xfId="0" applyFont="1" applyBorder="1" applyAlignment="1">
      <alignment horizontal="left" indent="1"/>
    </xf>
    <xf numFmtId="0" fontId="1" fillId="0" borderId="38" xfId="0" applyFont="1" applyBorder="1"/>
    <xf numFmtId="165" fontId="1" fillId="4" borderId="36" xfId="0" applyNumberFormat="1" applyFont="1" applyFill="1" applyBorder="1"/>
    <xf numFmtId="0" fontId="9" fillId="0" borderId="0" xfId="0" applyFont="1"/>
    <xf numFmtId="0" fontId="7" fillId="2" borderId="0" xfId="0" applyFont="1" applyFill="1" applyAlignment="1">
      <alignment vertical="center"/>
    </xf>
    <xf numFmtId="0" fontId="3" fillId="0" borderId="23" xfId="0" applyFont="1" applyBorder="1"/>
    <xf numFmtId="165" fontId="0" fillId="5" borderId="41" xfId="0" applyNumberFormat="1" applyFill="1" applyBorder="1"/>
    <xf numFmtId="0" fontId="3" fillId="0" borderId="16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7" xfId="0" applyFont="1" applyBorder="1" applyAlignment="1">
      <alignment wrapText="1"/>
    </xf>
    <xf numFmtId="0" fontId="3" fillId="0" borderId="28" xfId="0" applyFont="1" applyBorder="1" applyAlignment="1">
      <alignment wrapText="1"/>
    </xf>
    <xf numFmtId="0" fontId="3" fillId="4" borderId="16" xfId="0" applyFont="1" applyFill="1" applyBorder="1" applyAlignment="1">
      <alignment horizontal="left" indent="1"/>
    </xf>
    <xf numFmtId="0" fontId="1" fillId="4" borderId="7" xfId="0" applyFont="1" applyFill="1" applyBorder="1"/>
    <xf numFmtId="0" fontId="0" fillId="4" borderId="41" xfId="0" applyFill="1" applyBorder="1"/>
    <xf numFmtId="0" fontId="1" fillId="2" borderId="0" xfId="0" applyFont="1" applyFill="1" applyAlignment="1">
      <alignment vertical="center" wrapText="1"/>
    </xf>
    <xf numFmtId="0" fontId="5" fillId="0" borderId="40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28" xfId="0" applyFont="1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9"/>
  <sheetViews>
    <sheetView showGridLines="0" tabSelected="1" view="pageLayout" topLeftCell="A2" zoomScale="90" zoomScaleNormal="100" zoomScalePageLayoutView="90" workbookViewId="0">
      <selection activeCell="B10" sqref="B10"/>
    </sheetView>
  </sheetViews>
  <sheetFormatPr baseColWidth="10" defaultColWidth="11.453125" defaultRowHeight="13" x14ac:dyDescent="0.3"/>
  <cols>
    <col min="1" max="1" width="29.6328125" style="1" customWidth="1"/>
    <col min="2" max="2" width="23.26953125" style="1" customWidth="1"/>
    <col min="3" max="3" width="8.453125" style="1" customWidth="1"/>
    <col min="4" max="4" width="10.1796875" style="1" customWidth="1"/>
    <col min="5" max="5" width="14" style="1" customWidth="1"/>
    <col min="6" max="16384" width="11.453125" style="1"/>
  </cols>
  <sheetData>
    <row r="3" spans="1:7" ht="37.5" customHeight="1" thickBot="1" x14ac:dyDescent="0.35">
      <c r="A3" s="66" t="s">
        <v>38</v>
      </c>
      <c r="B3" s="89"/>
      <c r="C3" s="66"/>
      <c r="D3" s="66"/>
      <c r="E3" s="65"/>
      <c r="F3" s="65"/>
      <c r="G3" s="65"/>
    </row>
    <row r="4" spans="1:7" ht="28.5" customHeight="1" thickBot="1" x14ac:dyDescent="0.35">
      <c r="A4" s="90" t="s">
        <v>15</v>
      </c>
      <c r="B4" s="91"/>
      <c r="C4" s="91"/>
      <c r="D4" s="91"/>
      <c r="E4" s="92"/>
    </row>
    <row r="5" spans="1:7" ht="18" customHeight="1" x14ac:dyDescent="0.3">
      <c r="A5" s="12" t="s">
        <v>8</v>
      </c>
      <c r="B5" s="13" t="s">
        <v>25</v>
      </c>
      <c r="C5" s="14"/>
      <c r="D5" s="15"/>
      <c r="E5" s="16" t="s">
        <v>26</v>
      </c>
    </row>
    <row r="6" spans="1:7" x14ac:dyDescent="0.3">
      <c r="A6" s="86" t="s">
        <v>60</v>
      </c>
      <c r="B6" s="87" t="s">
        <v>40</v>
      </c>
      <c r="C6" s="87"/>
      <c r="D6" s="87"/>
      <c r="E6" s="88">
        <f>'WP1 Tagesplaner'!F31</f>
        <v>17</v>
      </c>
    </row>
    <row r="7" spans="1:7" ht="13.5" thickBot="1" x14ac:dyDescent="0.35">
      <c r="A7" s="86" t="s">
        <v>61</v>
      </c>
      <c r="B7" s="87" t="s">
        <v>37</v>
      </c>
      <c r="C7" s="87"/>
      <c r="D7" s="87"/>
      <c r="E7" s="88">
        <f>'WP2 Pflichtenheft'!F32</f>
        <v>41</v>
      </c>
    </row>
    <row r="8" spans="1:7" ht="13.5" thickBot="1" x14ac:dyDescent="0.35">
      <c r="A8" s="69" t="s">
        <v>23</v>
      </c>
      <c r="B8" s="70"/>
      <c r="C8" s="70"/>
      <c r="D8" s="70"/>
      <c r="E8" s="71">
        <f>SUM(E6:E7)</f>
        <v>58</v>
      </c>
    </row>
    <row r="9" spans="1:7" x14ac:dyDescent="0.3">
      <c r="A9" s="68"/>
      <c r="B9" s="17"/>
      <c r="C9" s="17"/>
      <c r="D9" s="17"/>
      <c r="E9" s="18"/>
    </row>
    <row r="10" spans="1:7" ht="13.5" thickBot="1" x14ac:dyDescent="0.35">
      <c r="A10" s="33"/>
      <c r="B10" s="7"/>
      <c r="C10" s="7"/>
      <c r="D10" s="7"/>
      <c r="E10" s="67"/>
    </row>
    <row r="11" spans="1:7" ht="13.5" thickBot="1" x14ac:dyDescent="0.35">
      <c r="A11" s="69" t="s">
        <v>24</v>
      </c>
      <c r="B11" s="70"/>
      <c r="C11" s="70"/>
      <c r="D11" s="70"/>
      <c r="E11" s="71">
        <v>0</v>
      </c>
    </row>
    <row r="12" spans="1:7" x14ac:dyDescent="0.3">
      <c r="A12" s="68"/>
      <c r="B12" s="17"/>
      <c r="C12" s="17"/>
      <c r="D12" s="17"/>
      <c r="E12" s="18"/>
    </row>
    <row r="13" spans="1:7" ht="13.5" thickBot="1" x14ac:dyDescent="0.35">
      <c r="A13" s="33"/>
      <c r="B13" s="7"/>
      <c r="C13" s="7"/>
      <c r="D13" s="7"/>
      <c r="E13" s="67"/>
    </row>
    <row r="14" spans="1:7" ht="13.5" thickBot="1" x14ac:dyDescent="0.35">
      <c r="A14" s="72" t="s">
        <v>27</v>
      </c>
      <c r="B14" s="73"/>
      <c r="C14" s="73"/>
      <c r="D14" s="73"/>
      <c r="E14" s="74">
        <f>SUM(E8:E11)</f>
        <v>58</v>
      </c>
    </row>
    <row r="15" spans="1:7" ht="13.5" thickBot="1" x14ac:dyDescent="0.35">
      <c r="A15" s="75"/>
      <c r="B15" s="10"/>
      <c r="C15" s="10"/>
      <c r="D15" s="17"/>
      <c r="E15" s="18"/>
    </row>
    <row r="16" spans="1:7" ht="13.5" thickBot="1" x14ac:dyDescent="0.35">
      <c r="A16" s="69" t="s">
        <v>28</v>
      </c>
      <c r="B16" s="76"/>
      <c r="C16" s="77">
        <f>E14/8</f>
        <v>7.25</v>
      </c>
      <c r="D16" s="8"/>
      <c r="E16" s="20"/>
    </row>
    <row r="17" spans="1:5" x14ac:dyDescent="0.3">
      <c r="A17" s="68"/>
      <c r="B17" s="17"/>
      <c r="C17" s="17"/>
      <c r="D17" s="8"/>
      <c r="E17" s="20"/>
    </row>
    <row r="18" spans="1:5" x14ac:dyDescent="0.3">
      <c r="A18" s="19"/>
      <c r="B18" s="8"/>
      <c r="C18" s="8"/>
      <c r="D18" s="8"/>
      <c r="E18" s="20"/>
    </row>
    <row r="19" spans="1:5" ht="13.5" thickBot="1" x14ac:dyDescent="0.35">
      <c r="A19" s="21"/>
      <c r="B19" s="22"/>
      <c r="C19" s="22"/>
      <c r="D19" s="22"/>
      <c r="E19" s="23"/>
    </row>
  </sheetData>
  <mergeCells count="1">
    <mergeCell ref="A4:E4"/>
  </mergeCells>
  <phoneticPr fontId="0" type="noConversion"/>
  <pageMargins left="0.78740157480314965" right="0.78740157480314965" top="0.42" bottom="0.62" header="0.34" footer="0.51181102362204722"/>
  <pageSetup paperSize="9" orientation="portrait" r:id="rId1"/>
  <headerFooter alignWithMargins="0">
    <oddHeader>&amp;LGruppe 6 (Dittli, Jolo, Kammermann, Lam)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view="pageLayout" topLeftCell="A2" zoomScaleNormal="100" workbookViewId="0">
      <selection activeCell="C3" sqref="C3"/>
    </sheetView>
  </sheetViews>
  <sheetFormatPr baseColWidth="10" defaultColWidth="11.54296875" defaultRowHeight="12.5" x14ac:dyDescent="0.25"/>
  <cols>
    <col min="1" max="1" width="24.26953125" customWidth="1"/>
    <col min="2" max="2" width="31" customWidth="1"/>
    <col min="3" max="3" width="16.81640625" customWidth="1"/>
    <col min="5" max="5" width="13.453125" customWidth="1"/>
  </cols>
  <sheetData>
    <row r="1" spans="1:7" ht="30" customHeight="1" thickBot="1" x14ac:dyDescent="0.55000000000000004">
      <c r="A1" s="79" t="s">
        <v>29</v>
      </c>
      <c r="B1" s="1"/>
      <c r="C1" s="61" t="s">
        <v>40</v>
      </c>
      <c r="D1" s="60"/>
      <c r="E1" s="62"/>
      <c r="F1" s="1"/>
    </row>
    <row r="2" spans="1:7" ht="16" thickBot="1" x14ac:dyDescent="0.3">
      <c r="A2" s="90" t="s">
        <v>0</v>
      </c>
      <c r="B2" s="91"/>
      <c r="C2" s="91"/>
      <c r="D2" s="91"/>
      <c r="E2" s="91"/>
      <c r="F2" s="92"/>
    </row>
    <row r="3" spans="1:7" ht="13" x14ac:dyDescent="0.3">
      <c r="A3" s="24" t="s">
        <v>8</v>
      </c>
      <c r="B3" s="25" t="s">
        <v>40</v>
      </c>
      <c r="C3" s="3" t="s">
        <v>58</v>
      </c>
      <c r="D3" s="4" t="s">
        <v>12</v>
      </c>
      <c r="E3" s="53"/>
      <c r="F3" s="26" t="s">
        <v>14</v>
      </c>
    </row>
    <row r="4" spans="1:7" ht="13.5" thickBot="1" x14ac:dyDescent="0.35">
      <c r="A4" s="27" t="s">
        <v>1</v>
      </c>
      <c r="B4" s="28" t="s">
        <v>31</v>
      </c>
      <c r="C4" s="80" t="s">
        <v>21</v>
      </c>
      <c r="D4" s="6" t="s">
        <v>2</v>
      </c>
      <c r="E4" s="54"/>
      <c r="F4" s="29">
        <v>42690</v>
      </c>
    </row>
    <row r="5" spans="1:7" ht="13" x14ac:dyDescent="0.3">
      <c r="A5" s="30" t="s">
        <v>3</v>
      </c>
      <c r="B5" s="25"/>
      <c r="C5" s="31"/>
      <c r="D5" s="31"/>
      <c r="E5" s="31"/>
      <c r="F5" s="32"/>
    </row>
    <row r="6" spans="1:7" x14ac:dyDescent="0.25">
      <c r="A6" s="33" t="s">
        <v>41</v>
      </c>
      <c r="B6" s="34"/>
      <c r="C6" s="35"/>
      <c r="D6" s="35"/>
      <c r="E6" s="35"/>
      <c r="F6" s="36"/>
    </row>
    <row r="7" spans="1:7" ht="13" thickBot="1" x14ac:dyDescent="0.3">
      <c r="A7" s="33"/>
      <c r="B7" s="34"/>
      <c r="C7" s="35"/>
      <c r="D7" s="35"/>
      <c r="E7" s="35"/>
      <c r="F7" s="36"/>
    </row>
    <row r="8" spans="1:7" ht="21.5" x14ac:dyDescent="0.3">
      <c r="A8" s="43" t="s">
        <v>4</v>
      </c>
      <c r="B8" s="3"/>
      <c r="C8" s="44" t="s">
        <v>6</v>
      </c>
      <c r="D8" s="44" t="s">
        <v>11</v>
      </c>
      <c r="E8" s="55" t="s">
        <v>20</v>
      </c>
      <c r="F8" s="45" t="s">
        <v>16</v>
      </c>
    </row>
    <row r="9" spans="1:7" ht="13" x14ac:dyDescent="0.3">
      <c r="A9" s="19" t="s">
        <v>44</v>
      </c>
      <c r="B9" s="38"/>
      <c r="C9" s="52" t="s">
        <v>30</v>
      </c>
      <c r="D9" s="46">
        <v>1</v>
      </c>
      <c r="E9" s="38">
        <v>3.5</v>
      </c>
      <c r="F9" s="39">
        <f t="shared" ref="F9:F14" si="0">D9*E9</f>
        <v>3.5</v>
      </c>
      <c r="G9" s="78"/>
    </row>
    <row r="10" spans="1:7" ht="13" x14ac:dyDescent="0.3">
      <c r="A10" s="19" t="s">
        <v>45</v>
      </c>
      <c r="B10" s="38"/>
      <c r="C10" s="52" t="s">
        <v>30</v>
      </c>
      <c r="D10" s="46">
        <v>1</v>
      </c>
      <c r="E10" s="38">
        <v>1</v>
      </c>
      <c r="F10" s="39">
        <f t="shared" si="0"/>
        <v>1</v>
      </c>
      <c r="G10" s="78"/>
    </row>
    <row r="11" spans="1:7" x14ac:dyDescent="0.25">
      <c r="A11" s="19" t="s">
        <v>54</v>
      </c>
      <c r="B11" s="38"/>
      <c r="C11" s="52" t="s">
        <v>30</v>
      </c>
      <c r="D11" s="46">
        <v>4</v>
      </c>
      <c r="E11" s="38">
        <v>1</v>
      </c>
      <c r="F11" s="39">
        <f t="shared" si="0"/>
        <v>4</v>
      </c>
    </row>
    <row r="12" spans="1:7" x14ac:dyDescent="0.25">
      <c r="A12" s="19" t="s">
        <v>46</v>
      </c>
      <c r="B12" s="38"/>
      <c r="C12" s="46" t="s">
        <v>30</v>
      </c>
      <c r="D12" s="46">
        <v>1</v>
      </c>
      <c r="E12" s="38">
        <v>0.5</v>
      </c>
      <c r="F12" s="39">
        <f t="shared" si="0"/>
        <v>0.5</v>
      </c>
    </row>
    <row r="13" spans="1:7" x14ac:dyDescent="0.25">
      <c r="A13" s="19" t="s">
        <v>57</v>
      </c>
      <c r="B13" s="38"/>
      <c r="C13" s="52" t="s">
        <v>30</v>
      </c>
      <c r="D13" s="46">
        <v>4</v>
      </c>
      <c r="E13" s="38">
        <v>1.5</v>
      </c>
      <c r="F13" s="39">
        <f t="shared" si="0"/>
        <v>6</v>
      </c>
    </row>
    <row r="14" spans="1:7" x14ac:dyDescent="0.25">
      <c r="A14" s="19" t="s">
        <v>42</v>
      </c>
      <c r="B14" s="38"/>
      <c r="C14" s="52" t="s">
        <v>30</v>
      </c>
      <c r="D14" s="46">
        <v>4</v>
      </c>
      <c r="E14" s="38">
        <v>0.5</v>
      </c>
      <c r="F14" s="39">
        <f t="shared" si="0"/>
        <v>2</v>
      </c>
    </row>
    <row r="15" spans="1:7" ht="13" thickBot="1" x14ac:dyDescent="0.3">
      <c r="A15" s="40"/>
      <c r="B15" s="38"/>
      <c r="C15" s="46"/>
      <c r="D15" s="46"/>
      <c r="E15" s="38"/>
      <c r="F15" s="39"/>
    </row>
    <row r="16" spans="1:7" ht="13" x14ac:dyDescent="0.3">
      <c r="A16" s="48" t="s">
        <v>5</v>
      </c>
      <c r="B16" s="49"/>
      <c r="C16" s="50"/>
      <c r="D16" s="50"/>
      <c r="E16" s="50"/>
      <c r="F16" s="51"/>
    </row>
    <row r="17" spans="1:6" x14ac:dyDescent="0.25">
      <c r="A17" s="19" t="s">
        <v>43</v>
      </c>
      <c r="B17" s="37"/>
      <c r="C17" s="38"/>
      <c r="D17" s="38"/>
      <c r="E17" s="38"/>
      <c r="F17" s="39"/>
    </row>
    <row r="18" spans="1:6" ht="13" thickBot="1" x14ac:dyDescent="0.3">
      <c r="A18" s="19"/>
      <c r="B18" s="37"/>
      <c r="C18" s="38"/>
      <c r="D18" s="38"/>
      <c r="E18" s="38"/>
      <c r="F18" s="39"/>
    </row>
    <row r="19" spans="1:6" ht="13" x14ac:dyDescent="0.3">
      <c r="A19" s="43" t="s">
        <v>9</v>
      </c>
      <c r="B19" s="3"/>
      <c r="C19" s="3"/>
      <c r="D19" s="3"/>
      <c r="E19" s="3"/>
      <c r="F19" s="5"/>
    </row>
    <row r="20" spans="1:6" x14ac:dyDescent="0.25">
      <c r="A20" s="19" t="s">
        <v>31</v>
      </c>
      <c r="B20" s="38"/>
      <c r="C20" s="38"/>
      <c r="D20" s="38"/>
      <c r="E20" s="38"/>
      <c r="F20" s="39"/>
    </row>
    <row r="21" spans="1:6" ht="13" thickBot="1" x14ac:dyDescent="0.3">
      <c r="A21" s="40"/>
      <c r="B21" s="41"/>
      <c r="C21" s="41"/>
      <c r="D21" s="41"/>
      <c r="E21" s="41"/>
      <c r="F21" s="42"/>
    </row>
    <row r="22" spans="1:6" ht="13" x14ac:dyDescent="0.3">
      <c r="A22" s="43" t="s">
        <v>13</v>
      </c>
      <c r="B22" s="3"/>
      <c r="C22" s="3"/>
      <c r="D22" s="3"/>
      <c r="E22" s="3"/>
      <c r="F22" s="5"/>
    </row>
    <row r="23" spans="1:6" x14ac:dyDescent="0.25">
      <c r="A23" s="19" t="s">
        <v>39</v>
      </c>
      <c r="B23" s="38"/>
      <c r="C23" s="38"/>
      <c r="D23" s="38"/>
      <c r="E23" s="38"/>
      <c r="F23" s="39"/>
    </row>
    <row r="24" spans="1:6" ht="13" thickBot="1" x14ac:dyDescent="0.3">
      <c r="A24" s="40"/>
      <c r="B24" s="41"/>
      <c r="C24" s="41"/>
      <c r="D24" s="41"/>
      <c r="E24" s="41"/>
      <c r="F24" s="42"/>
    </row>
    <row r="25" spans="1:6" ht="13" x14ac:dyDescent="0.3">
      <c r="A25" s="43" t="s">
        <v>10</v>
      </c>
      <c r="B25" s="3"/>
      <c r="C25" s="3"/>
      <c r="D25" s="3"/>
      <c r="E25" s="3"/>
      <c r="F25" s="5"/>
    </row>
    <row r="26" spans="1:6" x14ac:dyDescent="0.25">
      <c r="A26" s="19" t="s">
        <v>47</v>
      </c>
      <c r="B26" s="38"/>
      <c r="C26" s="38"/>
      <c r="D26" s="38"/>
      <c r="E26" s="38"/>
      <c r="F26" s="39"/>
    </row>
    <row r="27" spans="1:6" ht="13" thickBot="1" x14ac:dyDescent="0.3">
      <c r="A27" s="40"/>
      <c r="B27" s="41"/>
      <c r="C27" s="41"/>
      <c r="D27" s="41"/>
      <c r="E27" s="41"/>
      <c r="F27" s="42"/>
    </row>
    <row r="28" spans="1:6" ht="13" x14ac:dyDescent="0.3">
      <c r="A28" s="43" t="s">
        <v>7</v>
      </c>
      <c r="B28" s="3"/>
      <c r="C28" s="11"/>
      <c r="D28" s="11"/>
      <c r="E28" s="3"/>
      <c r="F28" s="5"/>
    </row>
    <row r="29" spans="1:6" x14ac:dyDescent="0.25">
      <c r="A29" s="19" t="s">
        <v>50</v>
      </c>
      <c r="B29" s="38"/>
      <c r="C29" s="46"/>
      <c r="D29" s="46"/>
      <c r="E29" s="38"/>
      <c r="F29" s="39"/>
    </row>
    <row r="30" spans="1:6" ht="13" thickBot="1" x14ac:dyDescent="0.3">
      <c r="A30" s="40"/>
      <c r="B30" s="41"/>
      <c r="C30" s="47"/>
      <c r="D30" s="47"/>
      <c r="E30" s="41"/>
      <c r="F30" s="42"/>
    </row>
    <row r="31" spans="1:6" ht="26.5" thickBot="1" x14ac:dyDescent="0.35">
      <c r="A31" s="2"/>
      <c r="B31" s="9"/>
      <c r="C31" s="56"/>
      <c r="D31" s="57"/>
      <c r="E31" s="63" t="s">
        <v>19</v>
      </c>
      <c r="F31" s="59">
        <f>SUM(F9:F15)</f>
        <v>17</v>
      </c>
    </row>
    <row r="32" spans="1:6" ht="26.25" customHeight="1" thickBot="1" x14ac:dyDescent="0.3">
      <c r="D32" s="58" t="s">
        <v>18</v>
      </c>
      <c r="E32" s="64" t="s">
        <v>17</v>
      </c>
      <c r="F32" s="81">
        <f>F31/8</f>
        <v>2.125</v>
      </c>
    </row>
  </sheetData>
  <mergeCells count="1">
    <mergeCell ref="A2:F2"/>
  </mergeCells>
  <phoneticPr fontId="4" type="noConversion"/>
  <pageMargins left="0.74803149606299213" right="0.74803149606299213" top="0.98425196850393704" bottom="0.98425196850393704" header="0.51181102362204722" footer="0.51181102362204722"/>
  <pageSetup paperSize="9" scale="81" orientation="portrait" r:id="rId1"/>
  <headerFooter alignWithMargins="0">
    <oddHeader>&amp;LGruppe 6 (Dittli, Jolo, Kammermann, Lam)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view="pageLayout" zoomScaleNormal="100" workbookViewId="0">
      <selection activeCell="B7" sqref="B7"/>
    </sheetView>
  </sheetViews>
  <sheetFormatPr baseColWidth="10" defaultRowHeight="12.5" x14ac:dyDescent="0.25"/>
  <cols>
    <col min="1" max="1" width="16.36328125" customWidth="1"/>
    <col min="2" max="2" width="23" customWidth="1"/>
    <col min="3" max="3" width="13.90625" customWidth="1"/>
  </cols>
  <sheetData>
    <row r="1" spans="1:6" ht="25.5" thickBot="1" x14ac:dyDescent="0.55000000000000004">
      <c r="A1" s="79" t="s">
        <v>29</v>
      </c>
      <c r="B1" s="1"/>
      <c r="C1" s="61" t="s">
        <v>37</v>
      </c>
      <c r="D1" s="60"/>
      <c r="E1" s="62"/>
      <c r="F1" s="1"/>
    </row>
    <row r="2" spans="1:6" ht="16" thickBot="1" x14ac:dyDescent="0.3">
      <c r="A2" s="90" t="s">
        <v>0</v>
      </c>
      <c r="B2" s="91"/>
      <c r="C2" s="91"/>
      <c r="D2" s="91"/>
      <c r="E2" s="91"/>
      <c r="F2" s="92"/>
    </row>
    <row r="3" spans="1:6" ht="13" x14ac:dyDescent="0.3">
      <c r="A3" s="24" t="s">
        <v>8</v>
      </c>
      <c r="B3" s="25" t="s">
        <v>37</v>
      </c>
      <c r="C3" s="3" t="s">
        <v>59</v>
      </c>
      <c r="D3" s="4" t="s">
        <v>12</v>
      </c>
      <c r="E3" s="53"/>
      <c r="F3" s="26" t="s">
        <v>14</v>
      </c>
    </row>
    <row r="4" spans="1:6" ht="13.5" thickBot="1" x14ac:dyDescent="0.35">
      <c r="A4" s="27" t="s">
        <v>1</v>
      </c>
      <c r="B4" s="28" t="s">
        <v>31</v>
      </c>
      <c r="C4" s="80" t="s">
        <v>22</v>
      </c>
      <c r="D4" s="6" t="s">
        <v>2</v>
      </c>
      <c r="E4" s="54"/>
      <c r="F4" s="29">
        <v>42725</v>
      </c>
    </row>
    <row r="5" spans="1:6" ht="13" x14ac:dyDescent="0.3">
      <c r="A5" s="30" t="s">
        <v>3</v>
      </c>
      <c r="B5" s="25"/>
      <c r="C5" s="31"/>
      <c r="D5" s="31"/>
      <c r="E5" s="31"/>
      <c r="F5" s="32"/>
    </row>
    <row r="6" spans="1:6" x14ac:dyDescent="0.25">
      <c r="A6" s="33" t="s">
        <v>32</v>
      </c>
      <c r="B6" s="34"/>
      <c r="C6" s="35"/>
      <c r="D6" s="35"/>
      <c r="E6" s="35"/>
      <c r="F6" s="36"/>
    </row>
    <row r="7" spans="1:6" ht="13" thickBot="1" x14ac:dyDescent="0.3">
      <c r="A7" s="33"/>
      <c r="B7" s="34"/>
      <c r="C7" s="35"/>
      <c r="D7" s="35"/>
      <c r="E7" s="35"/>
      <c r="F7" s="36"/>
    </row>
    <row r="8" spans="1:6" ht="21.5" x14ac:dyDescent="0.3">
      <c r="A8" s="43" t="s">
        <v>4</v>
      </c>
      <c r="B8" s="3"/>
      <c r="C8" s="44" t="s">
        <v>6</v>
      </c>
      <c r="D8" s="44" t="s">
        <v>11</v>
      </c>
      <c r="E8" s="55" t="s">
        <v>20</v>
      </c>
      <c r="F8" s="45" t="s">
        <v>16</v>
      </c>
    </row>
    <row r="9" spans="1:6" x14ac:dyDescent="0.25">
      <c r="A9" s="19" t="s">
        <v>33</v>
      </c>
      <c r="B9" s="38"/>
      <c r="C9" s="52" t="s">
        <v>30</v>
      </c>
      <c r="D9" s="46">
        <v>2</v>
      </c>
      <c r="E9" s="38">
        <v>2</v>
      </c>
      <c r="F9" s="39">
        <f>D9*E9</f>
        <v>4</v>
      </c>
    </row>
    <row r="10" spans="1:6" x14ac:dyDescent="0.25">
      <c r="A10" s="19" t="s">
        <v>34</v>
      </c>
      <c r="B10" s="38"/>
      <c r="C10" s="52" t="s">
        <v>30</v>
      </c>
      <c r="D10" s="46">
        <v>2</v>
      </c>
      <c r="E10" s="38">
        <v>3</v>
      </c>
      <c r="F10" s="39">
        <f t="shared" ref="F10:F15" si="0">D10*E10</f>
        <v>6</v>
      </c>
    </row>
    <row r="11" spans="1:6" x14ac:dyDescent="0.25">
      <c r="A11" s="19" t="s">
        <v>35</v>
      </c>
      <c r="B11" s="38"/>
      <c r="C11" s="52" t="s">
        <v>30</v>
      </c>
      <c r="D11" s="46">
        <v>2</v>
      </c>
      <c r="E11" s="38">
        <v>6</v>
      </c>
      <c r="F11" s="39">
        <f t="shared" si="0"/>
        <v>12</v>
      </c>
    </row>
    <row r="12" spans="1:6" x14ac:dyDescent="0.25">
      <c r="A12" s="19" t="s">
        <v>53</v>
      </c>
      <c r="B12" s="38"/>
      <c r="C12" s="46" t="s">
        <v>30</v>
      </c>
      <c r="D12" s="46">
        <v>2</v>
      </c>
      <c r="E12" s="38">
        <v>5</v>
      </c>
      <c r="F12" s="39">
        <f t="shared" si="0"/>
        <v>10</v>
      </c>
    </row>
    <row r="13" spans="1:6" x14ac:dyDescent="0.25">
      <c r="A13" s="19" t="s">
        <v>56</v>
      </c>
      <c r="B13" s="38"/>
      <c r="C13" s="52" t="s">
        <v>30</v>
      </c>
      <c r="D13" s="46">
        <v>1</v>
      </c>
      <c r="E13" s="38">
        <v>2</v>
      </c>
      <c r="F13" s="39">
        <f t="shared" si="0"/>
        <v>2</v>
      </c>
    </row>
    <row r="14" spans="1:6" x14ac:dyDescent="0.25">
      <c r="A14" s="19" t="s">
        <v>36</v>
      </c>
      <c r="B14" s="38"/>
      <c r="C14" s="52" t="s">
        <v>30</v>
      </c>
      <c r="D14" s="46">
        <v>2</v>
      </c>
      <c r="E14" s="38">
        <v>2</v>
      </c>
      <c r="F14" s="39">
        <f t="shared" si="0"/>
        <v>4</v>
      </c>
    </row>
    <row r="15" spans="1:6" x14ac:dyDescent="0.25">
      <c r="A15" s="19" t="s">
        <v>52</v>
      </c>
      <c r="B15" s="38"/>
      <c r="C15" s="52" t="s">
        <v>30</v>
      </c>
      <c r="D15" s="46">
        <v>1</v>
      </c>
      <c r="E15" s="38">
        <v>3</v>
      </c>
      <c r="F15" s="39">
        <f t="shared" si="0"/>
        <v>3</v>
      </c>
    </row>
    <row r="16" spans="1:6" ht="13" thickBot="1" x14ac:dyDescent="0.3">
      <c r="A16" s="40"/>
      <c r="B16" s="41"/>
      <c r="C16" s="47"/>
      <c r="D16" s="47"/>
      <c r="E16" s="41"/>
      <c r="F16" s="42"/>
    </row>
    <row r="17" spans="1:6" ht="13" x14ac:dyDescent="0.3">
      <c r="A17" s="48" t="s">
        <v>5</v>
      </c>
      <c r="B17" s="49"/>
      <c r="C17" s="50"/>
      <c r="D17" s="50"/>
      <c r="E17" s="50"/>
      <c r="F17" s="51"/>
    </row>
    <row r="18" spans="1:6" ht="25" customHeight="1" x14ac:dyDescent="0.25">
      <c r="A18" s="93" t="s">
        <v>51</v>
      </c>
      <c r="B18" s="94"/>
      <c r="C18" s="94"/>
      <c r="D18" s="94"/>
      <c r="E18" s="94"/>
      <c r="F18" s="95"/>
    </row>
    <row r="19" spans="1:6" ht="13" thickBot="1" x14ac:dyDescent="0.3">
      <c r="A19" s="82"/>
      <c r="B19" s="83"/>
      <c r="C19" s="84"/>
      <c r="D19" s="84"/>
      <c r="E19" s="84"/>
      <c r="F19" s="85"/>
    </row>
    <row r="20" spans="1:6" ht="13" x14ac:dyDescent="0.3">
      <c r="A20" s="43" t="s">
        <v>9</v>
      </c>
      <c r="B20" s="3"/>
      <c r="C20" s="3"/>
      <c r="D20" s="3"/>
      <c r="E20" s="3"/>
      <c r="F20" s="5"/>
    </row>
    <row r="21" spans="1:6" x14ac:dyDescent="0.25">
      <c r="A21" s="19" t="s">
        <v>31</v>
      </c>
      <c r="B21" s="38"/>
      <c r="C21" s="38"/>
      <c r="D21" s="38"/>
      <c r="E21" s="38"/>
      <c r="F21" s="39"/>
    </row>
    <row r="22" spans="1:6" ht="13" thickBot="1" x14ac:dyDescent="0.3">
      <c r="A22" s="40"/>
      <c r="B22" s="41"/>
      <c r="C22" s="41"/>
      <c r="D22" s="41"/>
      <c r="E22" s="41"/>
      <c r="F22" s="42"/>
    </row>
    <row r="23" spans="1:6" ht="13" x14ac:dyDescent="0.3">
      <c r="A23" s="43" t="s">
        <v>13</v>
      </c>
      <c r="B23" s="3"/>
      <c r="C23" s="3"/>
      <c r="D23" s="3"/>
      <c r="E23" s="3"/>
      <c r="F23" s="5"/>
    </row>
    <row r="24" spans="1:6" x14ac:dyDescent="0.25">
      <c r="A24" s="19" t="s">
        <v>49</v>
      </c>
      <c r="B24" s="38"/>
      <c r="C24" s="38"/>
      <c r="D24" s="38"/>
      <c r="E24" s="38"/>
      <c r="F24" s="39"/>
    </row>
    <row r="25" spans="1:6" ht="13" thickBot="1" x14ac:dyDescent="0.3">
      <c r="A25" s="19"/>
      <c r="B25" s="38"/>
      <c r="C25" s="38"/>
      <c r="D25" s="38"/>
      <c r="E25" s="38"/>
      <c r="F25" s="39"/>
    </row>
    <row r="26" spans="1:6" ht="13" x14ac:dyDescent="0.3">
      <c r="A26" s="43" t="s">
        <v>10</v>
      </c>
      <c r="B26" s="3"/>
      <c r="C26" s="3"/>
      <c r="D26" s="3"/>
      <c r="E26" s="3"/>
      <c r="F26" s="5"/>
    </row>
    <row r="27" spans="1:6" x14ac:dyDescent="0.25">
      <c r="A27" s="19" t="s">
        <v>48</v>
      </c>
      <c r="B27" s="38"/>
      <c r="C27" s="38"/>
      <c r="D27" s="38"/>
      <c r="E27" s="38"/>
      <c r="F27" s="39"/>
    </row>
    <row r="28" spans="1:6" ht="13" thickBot="1" x14ac:dyDescent="0.3">
      <c r="A28" s="19"/>
      <c r="B28" s="38"/>
      <c r="C28" s="38"/>
      <c r="D28" s="38"/>
      <c r="E28" s="38"/>
      <c r="F28" s="39"/>
    </row>
    <row r="29" spans="1:6" ht="13" x14ac:dyDescent="0.3">
      <c r="A29" s="43" t="s">
        <v>7</v>
      </c>
      <c r="B29" s="3"/>
      <c r="C29" s="11"/>
      <c r="D29" s="11"/>
      <c r="E29" s="3"/>
      <c r="F29" s="5"/>
    </row>
    <row r="30" spans="1:6" x14ac:dyDescent="0.25">
      <c r="A30" s="19" t="s">
        <v>55</v>
      </c>
      <c r="B30" s="38"/>
      <c r="C30" s="46"/>
      <c r="D30" s="46"/>
      <c r="E30" s="38"/>
      <c r="F30" s="39"/>
    </row>
    <row r="31" spans="1:6" ht="13" thickBot="1" x14ac:dyDescent="0.3">
      <c r="A31" s="40"/>
      <c r="B31" s="41"/>
      <c r="C31" s="47"/>
      <c r="D31" s="47"/>
      <c r="E31" s="41"/>
      <c r="F31" s="42"/>
    </row>
    <row r="32" spans="1:6" ht="39.5" thickBot="1" x14ac:dyDescent="0.35">
      <c r="A32" s="2"/>
      <c r="B32" s="9"/>
      <c r="C32" s="56"/>
      <c r="D32" s="57"/>
      <c r="E32" s="63" t="s">
        <v>19</v>
      </c>
      <c r="F32" s="59">
        <f>SUM(F9:F16)</f>
        <v>41</v>
      </c>
    </row>
    <row r="33" spans="4:6" ht="26.5" thickBot="1" x14ac:dyDescent="0.3">
      <c r="D33" s="58" t="s">
        <v>18</v>
      </c>
      <c r="E33" s="64" t="s">
        <v>17</v>
      </c>
      <c r="F33" s="81">
        <f>F32/8</f>
        <v>5.125</v>
      </c>
    </row>
  </sheetData>
  <mergeCells count="2">
    <mergeCell ref="A2:F2"/>
    <mergeCell ref="A18:F18"/>
  </mergeCells>
  <pageMargins left="0.7" right="0.7" top="0.78740157499999996" bottom="0.78740157499999996" header="0.3" footer="0.3"/>
  <pageSetup paperSize="9" orientation="portrait" r:id="rId1"/>
  <headerFooter>
    <oddHeader>&amp;LGruppe 6 (Dittli, Jolo, Kammermann, Lam)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 WP</vt:lpstr>
      <vt:lpstr>WP1 Tagesplaner</vt:lpstr>
      <vt:lpstr>WP2 Pflichtenheft</vt:lpstr>
    </vt:vector>
  </TitlesOfParts>
  <Company>CSC PLOENZKE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Mitarbeiter</dc:creator>
  <cp:lastModifiedBy>Fabian Kammermann</cp:lastModifiedBy>
  <cp:lastPrinted>2016-11-17T21:35:59Z</cp:lastPrinted>
  <dcterms:created xsi:type="dcterms:W3CDTF">2000-02-16T17:28:07Z</dcterms:created>
  <dcterms:modified xsi:type="dcterms:W3CDTF">2016-11-17T21:50:04Z</dcterms:modified>
</cp:coreProperties>
</file>