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kaf_crsr2ev\Documents\BFH\BFH\Systems Engineering\Dokumente Gruppe 6 (Dittli, Jolo, Kammermann, Lam)-20161117\02 Working Docs\"/>
    </mc:Choice>
  </mc:AlternateContent>
  <bookViews>
    <workbookView xWindow="0" yWindow="0" windowWidth="19200" windowHeight="6950" tabRatio="919" firstSheet="4" activeTab="15"/>
  </bookViews>
  <sheets>
    <sheet name="Tagesplaner Übersicht" sheetId="1" r:id="rId1"/>
    <sheet name="Woche_38" sheetId="2" r:id="rId2"/>
    <sheet name="Woche_39" sheetId="4" r:id="rId3"/>
    <sheet name="Woche_40" sheetId="5" r:id="rId4"/>
    <sheet name="Woche_41" sheetId="6" r:id="rId5"/>
    <sheet name="Woche_42" sheetId="7" r:id="rId6"/>
    <sheet name="Woche_43" sheetId="8" r:id="rId7"/>
    <sheet name="Woche_44" sheetId="10" r:id="rId8"/>
    <sheet name="Woche_45" sheetId="11" r:id="rId9"/>
    <sheet name="Woche_46" sheetId="12" r:id="rId10"/>
    <sheet name="Woche_47" sheetId="13" r:id="rId11"/>
    <sheet name="Woche_48" sheetId="14" r:id="rId12"/>
    <sheet name="Woche_49" sheetId="15" r:id="rId13"/>
    <sheet name="Woche_50" sheetId="17" r:id="rId14"/>
    <sheet name="Woche_51" sheetId="18" r:id="rId15"/>
    <sheet name="Woche_52" sheetId="19" r:id="rId16"/>
    <sheet name="Woche_1" sheetId="20" r:id="rId17"/>
    <sheet name="Woche_2" sheetId="21" r:id="rId18"/>
    <sheet name="Woche_3" sheetId="22" r:id="rId1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" i="1" l="1"/>
  <c r="K51" i="1"/>
  <c r="U41" i="14"/>
  <c r="Z41" i="19"/>
  <c r="J41" i="21"/>
  <c r="I41" i="7"/>
  <c r="P41" i="20"/>
  <c r="Z41" i="10"/>
  <c r="T41" i="21"/>
  <c r="AC41" i="19"/>
  <c r="U41" i="11"/>
  <c r="AC41" i="5"/>
  <c r="Z41" i="20"/>
  <c r="M41" i="8"/>
  <c r="O41" i="22"/>
  <c r="M41" i="11"/>
  <c r="AB41" i="22"/>
  <c r="U41" i="4"/>
  <c r="M41" i="10"/>
  <c r="Y41" i="19"/>
  <c r="C41" i="22"/>
  <c r="Y41" i="11"/>
  <c r="AB41" i="20"/>
  <c r="D41" i="12"/>
  <c r="U41" i="2"/>
  <c r="W41" i="21"/>
  <c r="U41" i="7"/>
  <c r="W41" i="19"/>
  <c r="C41" i="19"/>
  <c r="U41" i="6"/>
  <c r="R41" i="22"/>
  <c r="M41" i="4"/>
  <c r="E41" i="6"/>
  <c r="K41" i="20"/>
  <c r="X41" i="2"/>
  <c r="E41" i="8"/>
  <c r="Q41" i="19"/>
  <c r="Y41" i="22"/>
  <c r="K41" i="22"/>
  <c r="G41" i="19"/>
  <c r="E41" i="10"/>
  <c r="U41" i="20"/>
  <c r="N41" i="20"/>
  <c r="M41" i="15"/>
  <c r="G41" i="22"/>
  <c r="O41" i="2"/>
  <c r="AA41" i="19"/>
  <c r="I41" i="19"/>
  <c r="D41" i="21"/>
  <c r="C41" i="20"/>
  <c r="Q41" i="10"/>
  <c r="P41" i="21"/>
  <c r="M41" i="5"/>
  <c r="Y41" i="7"/>
  <c r="Y41" i="2"/>
  <c r="AC41" i="6"/>
  <c r="P41" i="22"/>
  <c r="V41" i="19"/>
  <c r="M41" i="20"/>
  <c r="R41" i="19"/>
  <c r="T41" i="20"/>
  <c r="U41" i="22"/>
  <c r="E41" i="12"/>
  <c r="P41" i="19"/>
  <c r="U41" i="17"/>
  <c r="H41" i="19"/>
  <c r="B41" i="22"/>
  <c r="Y41" i="15"/>
  <c r="J41" i="22"/>
  <c r="D41" i="22"/>
  <c r="I41" i="15"/>
  <c r="N41" i="21"/>
  <c r="Q41" i="7"/>
  <c r="S41" i="20"/>
  <c r="AA41" i="22"/>
  <c r="E41" i="17"/>
  <c r="G41" i="21"/>
  <c r="H41" i="21"/>
  <c r="G41" i="14"/>
  <c r="O41" i="20"/>
  <c r="I41" i="21"/>
  <c r="V41" i="20"/>
  <c r="Q41" i="21"/>
  <c r="M41" i="19"/>
  <c r="V41" i="21"/>
  <c r="Y41" i="5"/>
  <c r="U41" i="12"/>
  <c r="B41" i="20"/>
  <c r="X41" i="20"/>
  <c r="U41" i="10"/>
  <c r="H41" i="22"/>
  <c r="U41" i="15"/>
  <c r="L41" i="20"/>
  <c r="C41" i="21"/>
  <c r="M41" i="12"/>
  <c r="AB41" i="21"/>
  <c r="W41" i="22"/>
  <c r="E41" i="7"/>
  <c r="X41" i="21"/>
  <c r="X41" i="22"/>
  <c r="Y41" i="6"/>
  <c r="G41" i="20"/>
  <c r="I41" i="10"/>
  <c r="W41" i="20"/>
  <c r="S41" i="21"/>
  <c r="M41" i="6"/>
  <c r="X41" i="19"/>
  <c r="B41" i="21"/>
  <c r="Z41" i="22"/>
  <c r="R41" i="21"/>
  <c r="F41" i="20"/>
  <c r="AC41" i="12"/>
  <c r="I41" i="14"/>
  <c r="Z41" i="21"/>
  <c r="M41" i="21"/>
  <c r="Y41" i="4"/>
  <c r="D41" i="2"/>
  <c r="AB41" i="19"/>
  <c r="D41" i="19"/>
  <c r="I41" i="6"/>
  <c r="S41" i="19"/>
  <c r="J41" i="20"/>
  <c r="O41" i="21"/>
  <c r="E41" i="4"/>
  <c r="F41" i="19"/>
  <c r="AC41" i="4"/>
  <c r="N41" i="19"/>
  <c r="I41" i="2"/>
  <c r="K41" i="21"/>
  <c r="V41" i="22"/>
  <c r="M41" i="2"/>
  <c r="U41" i="5"/>
  <c r="R41" i="20"/>
  <c r="I41" i="4"/>
  <c r="T41" i="22"/>
  <c r="M41" i="17"/>
  <c r="Q41" i="20"/>
  <c r="L41" i="19"/>
  <c r="Y41" i="10"/>
  <c r="AC41" i="20"/>
  <c r="E41" i="21"/>
  <c r="I41" i="17"/>
  <c r="B41" i="19"/>
  <c r="Y41" i="21"/>
  <c r="U41" i="19"/>
  <c r="AA41" i="20"/>
  <c r="M41" i="22"/>
  <c r="AA41" i="21"/>
  <c r="E41" i="22"/>
  <c r="I41" i="20"/>
  <c r="O41" i="19"/>
  <c r="Y41" i="20"/>
  <c r="Y41" i="12"/>
  <c r="D41" i="20"/>
  <c r="M41" i="14"/>
  <c r="F41" i="22"/>
  <c r="F41" i="21"/>
  <c r="Y41" i="17"/>
  <c r="J41" i="19"/>
  <c r="N41" i="22"/>
  <c r="M41" i="7"/>
  <c r="L41" i="22"/>
  <c r="I41" i="12"/>
  <c r="K41" i="19"/>
  <c r="U41" i="8"/>
  <c r="U41" i="21"/>
  <c r="AC41" i="22"/>
  <c r="S41" i="22"/>
  <c r="E41" i="19"/>
  <c r="T41" i="19"/>
  <c r="L41" i="21"/>
  <c r="Q41" i="22"/>
  <c r="I41" i="22"/>
  <c r="AC41" i="21"/>
  <c r="E41" i="20"/>
  <c r="H41" i="20"/>
  <c r="G49" i="21" l="1"/>
  <c r="G49" i="22"/>
  <c r="G50" i="21"/>
  <c r="G50" i="20"/>
  <c r="G50" i="22"/>
  <c r="G48" i="19"/>
  <c r="G47" i="22"/>
  <c r="G49" i="19"/>
  <c r="G48" i="22"/>
  <c r="G47" i="21"/>
  <c r="G48" i="20"/>
  <c r="G49" i="20"/>
  <c r="G47" i="19"/>
  <c r="G50" i="19"/>
  <c r="G47" i="20"/>
  <c r="G48" i="21"/>
  <c r="F59" i="1"/>
  <c r="J56" i="1"/>
  <c r="H65" i="1"/>
  <c r="O65" i="1"/>
  <c r="I57" i="1"/>
  <c r="O57" i="1"/>
  <c r="G64" i="1"/>
  <c r="L63" i="1"/>
  <c r="L65" i="1"/>
  <c r="C58" i="1"/>
  <c r="J58" i="1"/>
  <c r="I64" i="1"/>
  <c r="M63" i="1"/>
  <c r="N63" i="1"/>
  <c r="D58" i="1"/>
  <c r="K59" i="1"/>
  <c r="J57" i="1"/>
  <c r="P59" i="1"/>
  <c r="C65" i="1"/>
  <c r="E63" i="1"/>
  <c r="E66" i="1"/>
  <c r="O63" i="1"/>
  <c r="P63" i="1"/>
  <c r="N65" i="1"/>
  <c r="P66" i="1"/>
  <c r="D56" i="1"/>
  <c r="F58" i="1"/>
  <c r="G57" i="1"/>
  <c r="K57" i="1"/>
  <c r="M58" i="1"/>
  <c r="N57" i="1"/>
  <c r="D63" i="1"/>
  <c r="D65" i="1"/>
  <c r="G63" i="1"/>
  <c r="F66" i="1"/>
  <c r="J64" i="1"/>
  <c r="K64" i="1"/>
  <c r="P65" i="1"/>
  <c r="F57" i="1"/>
  <c r="M57" i="1"/>
  <c r="E64" i="1"/>
  <c r="J63" i="1"/>
  <c r="M66" i="1"/>
  <c r="G59" i="1"/>
  <c r="N59" i="1"/>
  <c r="C66" i="1"/>
  <c r="N66" i="1"/>
  <c r="I56" i="1"/>
  <c r="P56" i="1"/>
  <c r="C63" i="1"/>
  <c r="M65" i="1"/>
  <c r="C57" i="1"/>
  <c r="F56" i="1"/>
  <c r="H57" i="1"/>
  <c r="N58" i="1"/>
  <c r="F63" i="1"/>
  <c r="E65" i="1"/>
  <c r="G66" i="1"/>
  <c r="M64" i="1"/>
  <c r="H56" i="1"/>
  <c r="H58" i="1"/>
  <c r="C59" i="1"/>
  <c r="O56" i="1"/>
  <c r="O58" i="1"/>
  <c r="K56" i="1"/>
  <c r="H63" i="1"/>
  <c r="F65" i="1"/>
  <c r="D64" i="1"/>
  <c r="H66" i="1"/>
  <c r="N64" i="1"/>
  <c r="O64" i="1"/>
  <c r="K66" i="1"/>
  <c r="C56" i="1"/>
  <c r="M59" i="1"/>
  <c r="H64" i="1"/>
  <c r="K65" i="1"/>
  <c r="G56" i="1"/>
  <c r="N56" i="1"/>
  <c r="I65" i="1"/>
  <c r="K63" i="1"/>
  <c r="H59" i="1"/>
  <c r="O59" i="1"/>
  <c r="D66" i="1"/>
  <c r="O66" i="1"/>
  <c r="I59" i="1"/>
  <c r="G58" i="1"/>
  <c r="M56" i="1"/>
  <c r="P57" i="1"/>
  <c r="I63" i="1"/>
  <c r="L64" i="1"/>
  <c r="J66" i="1"/>
  <c r="D57" i="1"/>
  <c r="I58" i="1"/>
  <c r="D59" i="1"/>
  <c r="K58" i="1"/>
  <c r="P58" i="1"/>
  <c r="C64" i="1"/>
  <c r="G65" i="1"/>
  <c r="F64" i="1"/>
  <c r="I66" i="1"/>
  <c r="J65" i="1"/>
  <c r="P64" i="1"/>
  <c r="L66" i="1"/>
  <c r="E59" i="1"/>
  <c r="E58" i="1"/>
  <c r="E57" i="1"/>
  <c r="E56" i="1"/>
  <c r="L59" i="1"/>
  <c r="L58" i="1"/>
  <c r="L57" i="1"/>
  <c r="L56" i="1"/>
  <c r="G44" i="1"/>
  <c r="D43" i="1"/>
  <c r="C38" i="1"/>
  <c r="R41" i="12"/>
  <c r="S41" i="17"/>
  <c r="V41" i="17"/>
  <c r="Q41" i="18"/>
  <c r="I41" i="13"/>
  <c r="E41" i="18"/>
  <c r="T41" i="14"/>
  <c r="O41" i="17"/>
  <c r="O41" i="12"/>
  <c r="Z41" i="17"/>
  <c r="K41" i="17"/>
  <c r="X41" i="13"/>
  <c r="G41" i="18"/>
  <c r="E41" i="14"/>
  <c r="X41" i="14"/>
  <c r="P41" i="12"/>
  <c r="C41" i="13"/>
  <c r="F41" i="14"/>
  <c r="AA41" i="12"/>
  <c r="D41" i="14"/>
  <c r="Z41" i="12"/>
  <c r="V41" i="15"/>
  <c r="I41" i="18"/>
  <c r="W41" i="14"/>
  <c r="N41" i="15"/>
  <c r="S41" i="12"/>
  <c r="AC41" i="13"/>
  <c r="R41" i="15"/>
  <c r="O41" i="15"/>
  <c r="B41" i="18"/>
  <c r="R41" i="17"/>
  <c r="O41" i="18"/>
  <c r="B41" i="14"/>
  <c r="H41" i="12"/>
  <c r="N41" i="17"/>
  <c r="Q41" i="15"/>
  <c r="AA41" i="14"/>
  <c r="F41" i="12"/>
  <c r="H41" i="18"/>
  <c r="B41" i="17"/>
  <c r="T41" i="12"/>
  <c r="D41" i="18"/>
  <c r="C41" i="15"/>
  <c r="AB41" i="18"/>
  <c r="AB41" i="15"/>
  <c r="L41" i="15"/>
  <c r="L41" i="13"/>
  <c r="Z41" i="15"/>
  <c r="R41" i="13"/>
  <c r="AA41" i="17"/>
  <c r="AB41" i="13"/>
  <c r="P41" i="15"/>
  <c r="V41" i="14"/>
  <c r="AC41" i="15"/>
  <c r="G41" i="17"/>
  <c r="Y41" i="13"/>
  <c r="H41" i="13"/>
  <c r="U41" i="18"/>
  <c r="Q41" i="13"/>
  <c r="N41" i="12"/>
  <c r="Z41" i="18"/>
  <c r="W41" i="18"/>
  <c r="L41" i="17"/>
  <c r="N41" i="13"/>
  <c r="Q41" i="17"/>
  <c r="W41" i="12"/>
  <c r="V41" i="12"/>
  <c r="Y41" i="14"/>
  <c r="F41" i="17"/>
  <c r="G41" i="12"/>
  <c r="X41" i="17"/>
  <c r="G41" i="15"/>
  <c r="T41" i="18"/>
  <c r="P41" i="18"/>
  <c r="Q41" i="12"/>
  <c r="X41" i="12"/>
  <c r="C41" i="14"/>
  <c r="J41" i="15"/>
  <c r="AC41" i="17"/>
  <c r="S41" i="14"/>
  <c r="R41" i="14"/>
  <c r="J41" i="18"/>
  <c r="B41" i="15"/>
  <c r="E41" i="13"/>
  <c r="T41" i="17"/>
  <c r="K41" i="13"/>
  <c r="W41" i="17"/>
  <c r="X41" i="18"/>
  <c r="O41" i="14"/>
  <c r="T41" i="15"/>
  <c r="H41" i="15"/>
  <c r="L41" i="14"/>
  <c r="Y41" i="18"/>
  <c r="C41" i="18"/>
  <c r="N41" i="14"/>
  <c r="B41" i="13"/>
  <c r="V41" i="13"/>
  <c r="J41" i="14"/>
  <c r="AA41" i="13"/>
  <c r="AB41" i="17"/>
  <c r="J41" i="13"/>
  <c r="F41" i="18"/>
  <c r="P41" i="17"/>
  <c r="D41" i="15"/>
  <c r="M41" i="18"/>
  <c r="K41" i="18"/>
  <c r="F41" i="15"/>
  <c r="Z41" i="13"/>
  <c r="H41" i="17"/>
  <c r="K41" i="12"/>
  <c r="S41" i="15"/>
  <c r="AA41" i="15"/>
  <c r="T41" i="13"/>
  <c r="L41" i="12"/>
  <c r="E41" i="15"/>
  <c r="C41" i="17"/>
  <c r="P41" i="14"/>
  <c r="D41" i="17"/>
  <c r="G41" i="13"/>
  <c r="M41" i="13"/>
  <c r="P41" i="13"/>
  <c r="AB41" i="12"/>
  <c r="O41" i="13"/>
  <c r="D41" i="13"/>
  <c r="AC41" i="14"/>
  <c r="W41" i="15"/>
  <c r="R41" i="18"/>
  <c r="Q41" i="14"/>
  <c r="V41" i="18"/>
  <c r="AC41" i="18"/>
  <c r="J41" i="17"/>
  <c r="X41" i="15"/>
  <c r="K41" i="14"/>
  <c r="H41" i="14"/>
  <c r="U41" i="13"/>
  <c r="W41" i="13"/>
  <c r="Z41" i="14"/>
  <c r="L41" i="18"/>
  <c r="AA41" i="18"/>
  <c r="N41" i="18"/>
  <c r="C41" i="12"/>
  <c r="K41" i="15"/>
  <c r="S41" i="13"/>
  <c r="J41" i="12"/>
  <c r="S41" i="18"/>
  <c r="AB41" i="14"/>
  <c r="F41" i="13"/>
  <c r="B41" i="12"/>
  <c r="G48" i="17" l="1"/>
  <c r="G47" i="13"/>
  <c r="G49" i="13"/>
  <c r="G49" i="12"/>
  <c r="G50" i="13"/>
  <c r="G50" i="14"/>
  <c r="G47" i="17"/>
  <c r="G47" i="18"/>
  <c r="G48" i="12"/>
  <c r="G50" i="15"/>
  <c r="G50" i="12"/>
  <c r="G50" i="18"/>
  <c r="G48" i="13"/>
  <c r="G48" i="15"/>
  <c r="G48" i="14"/>
  <c r="G47" i="14"/>
  <c r="G47" i="15"/>
  <c r="G49" i="15"/>
  <c r="G50" i="17"/>
  <c r="G49" i="14"/>
  <c r="G49" i="18"/>
  <c r="G48" i="18"/>
  <c r="G49" i="17"/>
  <c r="G47" i="12"/>
  <c r="K50" i="1"/>
  <c r="M49" i="1"/>
  <c r="P52" i="1"/>
  <c r="L49" i="1"/>
  <c r="M50" i="1"/>
  <c r="L51" i="1"/>
  <c r="P51" i="1"/>
  <c r="O49" i="1"/>
  <c r="O50" i="1"/>
  <c r="M52" i="1"/>
  <c r="L52" i="1"/>
  <c r="N49" i="1"/>
  <c r="P50" i="1"/>
  <c r="M51" i="1"/>
  <c r="J49" i="1"/>
  <c r="J50" i="1"/>
  <c r="J52" i="1"/>
  <c r="N52" i="1"/>
  <c r="O51" i="1"/>
  <c r="N50" i="1"/>
  <c r="P49" i="1"/>
  <c r="J51" i="1"/>
  <c r="N51" i="1"/>
  <c r="K49" i="1"/>
  <c r="L50" i="1"/>
  <c r="K52" i="1"/>
  <c r="O52" i="1"/>
  <c r="D49" i="1"/>
  <c r="H49" i="1"/>
  <c r="I49" i="1"/>
  <c r="C50" i="1"/>
  <c r="D50" i="1"/>
  <c r="E50" i="1"/>
  <c r="F50" i="1"/>
  <c r="G50" i="1"/>
  <c r="H50" i="1"/>
  <c r="I50" i="1"/>
  <c r="C49" i="1"/>
  <c r="F49" i="1"/>
  <c r="C51" i="1"/>
  <c r="E51" i="1"/>
  <c r="F51" i="1"/>
  <c r="G51" i="1"/>
  <c r="H51" i="1"/>
  <c r="I51" i="1"/>
  <c r="E49" i="1"/>
  <c r="G49" i="1"/>
  <c r="D51" i="1"/>
  <c r="C52" i="1"/>
  <c r="D52" i="1"/>
  <c r="E52" i="1"/>
  <c r="F52" i="1"/>
  <c r="G52" i="1"/>
  <c r="H52" i="1"/>
  <c r="I52" i="1"/>
  <c r="C42" i="1"/>
  <c r="E42" i="1"/>
  <c r="G42" i="1"/>
  <c r="I42" i="1"/>
  <c r="C43" i="1"/>
  <c r="E43" i="1"/>
  <c r="F43" i="1"/>
  <c r="G43" i="1"/>
  <c r="H43" i="1"/>
  <c r="I43" i="1"/>
  <c r="D42" i="1"/>
  <c r="F42" i="1"/>
  <c r="H42" i="1"/>
  <c r="C44" i="1"/>
  <c r="D44" i="1"/>
  <c r="E44" i="1"/>
  <c r="F44" i="1"/>
  <c r="H44" i="1"/>
  <c r="I44" i="1"/>
  <c r="J45" i="1"/>
  <c r="C45" i="1"/>
  <c r="E45" i="1"/>
  <c r="F45" i="1"/>
  <c r="G45" i="1"/>
  <c r="H45" i="1"/>
  <c r="I45" i="1"/>
  <c r="J42" i="1"/>
  <c r="L42" i="1"/>
  <c r="N42" i="1"/>
  <c r="O42" i="1"/>
  <c r="J43" i="1"/>
  <c r="L43" i="1"/>
  <c r="N43" i="1"/>
  <c r="O43" i="1"/>
  <c r="P43" i="1"/>
  <c r="J44" i="1"/>
  <c r="K44" i="1"/>
  <c r="L44" i="1"/>
  <c r="M44" i="1"/>
  <c r="N44" i="1"/>
  <c r="O44" i="1"/>
  <c r="P44" i="1"/>
  <c r="K42" i="1"/>
  <c r="M42" i="1"/>
  <c r="P42" i="1"/>
  <c r="K43" i="1"/>
  <c r="M43" i="1"/>
  <c r="K45" i="1"/>
  <c r="L45" i="1"/>
  <c r="M45" i="1"/>
  <c r="N45" i="1"/>
  <c r="O45" i="1"/>
  <c r="P45" i="1"/>
  <c r="K35" i="1"/>
  <c r="M35" i="1"/>
  <c r="O35" i="1"/>
  <c r="K36" i="1"/>
  <c r="M36" i="1"/>
  <c r="O36" i="1"/>
  <c r="J37" i="1"/>
  <c r="K37" i="1"/>
  <c r="L37" i="1"/>
  <c r="M37" i="1"/>
  <c r="N37" i="1"/>
  <c r="O37" i="1"/>
  <c r="P37" i="1"/>
  <c r="J35" i="1"/>
  <c r="L35" i="1"/>
  <c r="N35" i="1"/>
  <c r="P35" i="1"/>
  <c r="J36" i="1"/>
  <c r="L36" i="1"/>
  <c r="N36" i="1"/>
  <c r="P36" i="1"/>
  <c r="J38" i="1"/>
  <c r="K38" i="1"/>
  <c r="L38" i="1"/>
  <c r="M38" i="1"/>
  <c r="N38" i="1"/>
  <c r="O38" i="1"/>
  <c r="P38" i="1"/>
  <c r="D35" i="1"/>
  <c r="F35" i="1"/>
  <c r="H35" i="1"/>
  <c r="C36" i="1"/>
  <c r="E36" i="1"/>
  <c r="G36" i="1"/>
  <c r="I36" i="1"/>
  <c r="C37" i="1"/>
  <c r="D37" i="1"/>
  <c r="E37" i="1"/>
  <c r="F37" i="1"/>
  <c r="G37" i="1"/>
  <c r="H37" i="1"/>
  <c r="I37" i="1"/>
  <c r="C35" i="1"/>
  <c r="E35" i="1"/>
  <c r="G35" i="1"/>
  <c r="I35" i="1"/>
  <c r="D36" i="1"/>
  <c r="F36" i="1"/>
  <c r="H36" i="1"/>
  <c r="D38" i="1"/>
  <c r="E38" i="1"/>
  <c r="F38" i="1"/>
  <c r="G38" i="1"/>
  <c r="H38" i="1"/>
  <c r="I38" i="1"/>
  <c r="D45" i="1"/>
  <c r="H41" i="11"/>
  <c r="R41" i="11"/>
  <c r="S41" i="11"/>
  <c r="V41" i="11"/>
  <c r="L41" i="11"/>
  <c r="O41" i="10"/>
  <c r="AC41" i="11"/>
  <c r="R41" i="10"/>
  <c r="W41" i="10"/>
  <c r="C41" i="11"/>
  <c r="K41" i="11"/>
  <c r="V41" i="10"/>
  <c r="AA41" i="10"/>
  <c r="J41" i="11"/>
  <c r="Z41" i="11"/>
  <c r="F41" i="10"/>
  <c r="T41" i="10"/>
  <c r="O41" i="11"/>
  <c r="N41" i="10"/>
  <c r="L41" i="10"/>
  <c r="C41" i="10"/>
  <c r="X41" i="11"/>
  <c r="F41" i="11"/>
  <c r="AB41" i="10"/>
  <c r="N41" i="11"/>
  <c r="B41" i="11"/>
  <c r="I41" i="11"/>
  <c r="Q41" i="11"/>
  <c r="G41" i="10"/>
  <c r="D41" i="11"/>
  <c r="E41" i="11"/>
  <c r="AC41" i="10"/>
  <c r="K41" i="10"/>
  <c r="H41" i="10"/>
  <c r="J41" i="10"/>
  <c r="S41" i="10"/>
  <c r="P41" i="10"/>
  <c r="AA41" i="11"/>
  <c r="P41" i="11"/>
  <c r="W41" i="11"/>
  <c r="G41" i="11"/>
  <c r="T41" i="11"/>
  <c r="AB41" i="11"/>
  <c r="X41" i="10"/>
  <c r="B41" i="10"/>
  <c r="D41" i="10"/>
  <c r="G49" i="10" l="1"/>
  <c r="G47" i="11"/>
  <c r="G50" i="10"/>
  <c r="G48" i="11"/>
  <c r="G48" i="10"/>
  <c r="G50" i="11"/>
  <c r="G47" i="10"/>
  <c r="G49" i="11"/>
  <c r="D29" i="1"/>
  <c r="G28" i="1"/>
  <c r="C29" i="1"/>
  <c r="D30" i="1"/>
  <c r="E29" i="1"/>
  <c r="F29" i="1"/>
  <c r="G29" i="1"/>
  <c r="H29" i="1"/>
  <c r="I29" i="1"/>
  <c r="C28" i="1"/>
  <c r="F28" i="1"/>
  <c r="I28" i="1"/>
  <c r="C30" i="1"/>
  <c r="D31" i="1"/>
  <c r="E30" i="1"/>
  <c r="F30" i="1"/>
  <c r="G30" i="1"/>
  <c r="H30" i="1"/>
  <c r="I30" i="1"/>
  <c r="E28" i="1"/>
  <c r="H28" i="1"/>
  <c r="D28" i="1"/>
  <c r="C31" i="1"/>
  <c r="E31" i="1"/>
  <c r="F31" i="1"/>
  <c r="G31" i="1"/>
  <c r="H31" i="1"/>
  <c r="I31" i="1"/>
  <c r="K28" i="1"/>
  <c r="M28" i="1"/>
  <c r="O28" i="1"/>
  <c r="J29" i="1"/>
  <c r="L29" i="1"/>
  <c r="N29" i="1"/>
  <c r="P29" i="1"/>
  <c r="J30" i="1"/>
  <c r="K30" i="1"/>
  <c r="L30" i="1"/>
  <c r="M30" i="1"/>
  <c r="N30" i="1"/>
  <c r="O30" i="1"/>
  <c r="P30" i="1"/>
  <c r="J28" i="1"/>
  <c r="L28" i="1"/>
  <c r="N28" i="1"/>
  <c r="P28" i="1"/>
  <c r="K29" i="1"/>
  <c r="M29" i="1"/>
  <c r="O29" i="1"/>
  <c r="J31" i="1"/>
  <c r="K31" i="1"/>
  <c r="L31" i="1"/>
  <c r="M31" i="1"/>
  <c r="N31" i="1"/>
  <c r="O31" i="1"/>
  <c r="P31" i="1"/>
  <c r="G10" i="1"/>
  <c r="J10" i="1"/>
  <c r="F15" i="1"/>
  <c r="M15" i="1"/>
  <c r="J15" i="1"/>
  <c r="O7" i="1"/>
  <c r="M8" i="1"/>
  <c r="S41" i="5"/>
  <c r="AB41" i="4"/>
  <c r="V41" i="6"/>
  <c r="D41" i="5"/>
  <c r="R41" i="4"/>
  <c r="W41" i="4"/>
  <c r="N41" i="2"/>
  <c r="C41" i="5"/>
  <c r="AC41" i="8"/>
  <c r="S41" i="7"/>
  <c r="T41" i="7"/>
  <c r="K41" i="8"/>
  <c r="AB41" i="7"/>
  <c r="X41" i="6"/>
  <c r="D41" i="7"/>
  <c r="AC41" i="2"/>
  <c r="W41" i="7"/>
  <c r="V41" i="7"/>
  <c r="H41" i="6"/>
  <c r="P41" i="4"/>
  <c r="O41" i="4"/>
  <c r="C41" i="6"/>
  <c r="F41" i="5"/>
  <c r="P41" i="2"/>
  <c r="Q41" i="4"/>
  <c r="J41" i="6"/>
  <c r="AC41" i="7"/>
  <c r="P41" i="5"/>
  <c r="Q41" i="8"/>
  <c r="AA41" i="6"/>
  <c r="J41" i="5"/>
  <c r="R41" i="7"/>
  <c r="N41" i="6"/>
  <c r="W41" i="6"/>
  <c r="O41" i="5"/>
  <c r="R41" i="5"/>
  <c r="T41" i="4"/>
  <c r="H41" i="4"/>
  <c r="B41" i="2"/>
  <c r="B41" i="7"/>
  <c r="O41" i="7"/>
  <c r="D41" i="8"/>
  <c r="K41" i="7"/>
  <c r="V41" i="5"/>
  <c r="R41" i="8"/>
  <c r="AB41" i="2"/>
  <c r="AA41" i="7"/>
  <c r="K41" i="5"/>
  <c r="C41" i="4"/>
  <c r="B41" i="8"/>
  <c r="C41" i="8"/>
  <c r="N41" i="7"/>
  <c r="W41" i="2"/>
  <c r="I41" i="5"/>
  <c r="AB41" i="8"/>
  <c r="AB41" i="6"/>
  <c r="L41" i="5"/>
  <c r="H41" i="2"/>
  <c r="Z41" i="4"/>
  <c r="T41" i="8"/>
  <c r="Q41" i="6"/>
  <c r="L41" i="8"/>
  <c r="Z41" i="2"/>
  <c r="AA41" i="4"/>
  <c r="Y41" i="8"/>
  <c r="O41" i="6"/>
  <c r="X41" i="5"/>
  <c r="J41" i="8"/>
  <c r="Z41" i="7"/>
  <c r="F41" i="6"/>
  <c r="O41" i="8"/>
  <c r="V41" i="2"/>
  <c r="I41" i="8"/>
  <c r="V41" i="4"/>
  <c r="N41" i="4"/>
  <c r="J41" i="7"/>
  <c r="AA41" i="2"/>
  <c r="L41" i="2"/>
  <c r="R41" i="2"/>
  <c r="G41" i="5"/>
  <c r="H41" i="5"/>
  <c r="S41" i="8"/>
  <c r="T41" i="6"/>
  <c r="X41" i="7"/>
  <c r="AA41" i="8"/>
  <c r="B41" i="4"/>
  <c r="K41" i="2"/>
  <c r="N41" i="5"/>
  <c r="J41" i="2"/>
  <c r="X41" i="8"/>
  <c r="X41" i="4"/>
  <c r="F41" i="2"/>
  <c r="L41" i="7"/>
  <c r="R41" i="6"/>
  <c r="F41" i="4"/>
  <c r="T41" i="2"/>
  <c r="AA41" i="5"/>
  <c r="G41" i="4"/>
  <c r="Z41" i="5"/>
  <c r="H41" i="7"/>
  <c r="G41" i="7"/>
  <c r="W41" i="5"/>
  <c r="Q41" i="5"/>
  <c r="Q41" i="2"/>
  <c r="G41" i="6"/>
  <c r="Z41" i="8"/>
  <c r="G41" i="8"/>
  <c r="P41" i="7"/>
  <c r="F41" i="7"/>
  <c r="E41" i="2"/>
  <c r="D41" i="4"/>
  <c r="H41" i="8"/>
  <c r="S41" i="6"/>
  <c r="C41" i="7"/>
  <c r="J41" i="4"/>
  <c r="L41" i="6"/>
  <c r="G41" i="2"/>
  <c r="C41" i="2"/>
  <c r="B41" i="5"/>
  <c r="N41" i="8"/>
  <c r="S41" i="2"/>
  <c r="AB41" i="5"/>
  <c r="D41" i="6"/>
  <c r="W41" i="8"/>
  <c r="L41" i="4"/>
  <c r="Z41" i="6"/>
  <c r="B41" i="6"/>
  <c r="V41" i="8"/>
  <c r="P41" i="6"/>
  <c r="K41" i="4"/>
  <c r="P41" i="8"/>
  <c r="K41" i="6"/>
  <c r="F41" i="8"/>
  <c r="S41" i="4"/>
  <c r="T41" i="5"/>
  <c r="E41" i="5"/>
  <c r="G49" i="7" l="1"/>
  <c r="G47" i="4"/>
  <c r="G50" i="4"/>
  <c r="G49" i="8"/>
  <c r="G48" i="6"/>
  <c r="G47" i="8"/>
  <c r="G47" i="5"/>
  <c r="G48" i="7"/>
  <c r="G50" i="7"/>
  <c r="G49" i="2"/>
  <c r="G48" i="5"/>
  <c r="G47" i="6"/>
  <c r="G48" i="4"/>
  <c r="G50" i="5"/>
  <c r="G49" i="6"/>
  <c r="G50" i="2"/>
  <c r="F76" i="1" s="1"/>
  <c r="G48" i="2"/>
  <c r="G48" i="8"/>
  <c r="G50" i="6"/>
  <c r="G49" i="5"/>
  <c r="G49" i="4"/>
  <c r="G47" i="7"/>
  <c r="G47" i="2"/>
  <c r="G50" i="8"/>
  <c r="O22" i="1"/>
  <c r="L24" i="1"/>
  <c r="J22" i="1"/>
  <c r="M23" i="1"/>
  <c r="P24" i="1"/>
  <c r="K21" i="1"/>
  <c r="J21" i="1"/>
  <c r="O21" i="1"/>
  <c r="M22" i="1"/>
  <c r="N23" i="1"/>
  <c r="N21" i="1"/>
  <c r="P22" i="1"/>
  <c r="M24" i="1"/>
  <c r="J24" i="1"/>
  <c r="L21" i="1"/>
  <c r="L22" i="1"/>
  <c r="K23" i="1"/>
  <c r="O23" i="1"/>
  <c r="P21" i="1"/>
  <c r="N24" i="1"/>
  <c r="J23" i="1"/>
  <c r="M21" i="1"/>
  <c r="N22" i="1"/>
  <c r="L23" i="1"/>
  <c r="P23" i="1"/>
  <c r="K22" i="1"/>
  <c r="K24" i="1"/>
  <c r="O24" i="1"/>
  <c r="C21" i="1"/>
  <c r="D21" i="1"/>
  <c r="E21" i="1"/>
  <c r="F21" i="1"/>
  <c r="G21" i="1"/>
  <c r="H21" i="1"/>
  <c r="I21" i="1"/>
  <c r="C22" i="1"/>
  <c r="D22" i="1"/>
  <c r="E22" i="1"/>
  <c r="F22" i="1"/>
  <c r="G22" i="1"/>
  <c r="H22" i="1"/>
  <c r="I22" i="1"/>
  <c r="C23" i="1"/>
  <c r="D23" i="1"/>
  <c r="E23" i="1"/>
  <c r="F23" i="1"/>
  <c r="G23" i="1"/>
  <c r="H23" i="1"/>
  <c r="I23" i="1"/>
  <c r="C24" i="1"/>
  <c r="D24" i="1"/>
  <c r="E24" i="1"/>
  <c r="F24" i="1"/>
  <c r="G24" i="1"/>
  <c r="H24" i="1"/>
  <c r="I24" i="1"/>
  <c r="J9" i="1"/>
  <c r="C17" i="1"/>
  <c r="D17" i="1"/>
  <c r="E17" i="1"/>
  <c r="F17" i="1"/>
  <c r="G17" i="1"/>
  <c r="H17" i="1"/>
  <c r="C14" i="1"/>
  <c r="D14" i="1"/>
  <c r="E14" i="1"/>
  <c r="F14" i="1"/>
  <c r="G14" i="1"/>
  <c r="H14" i="1"/>
  <c r="I14" i="1"/>
  <c r="C15" i="1"/>
  <c r="D15" i="1"/>
  <c r="E15" i="1"/>
  <c r="G15" i="1"/>
  <c r="H15" i="1"/>
  <c r="I15" i="1"/>
  <c r="C16" i="1"/>
  <c r="D16" i="1"/>
  <c r="E16" i="1"/>
  <c r="F16" i="1"/>
  <c r="G16" i="1"/>
  <c r="H16" i="1"/>
  <c r="I16" i="1"/>
  <c r="I17" i="1"/>
  <c r="J14" i="1"/>
  <c r="L14" i="1"/>
  <c r="N14" i="1"/>
  <c r="P14" i="1"/>
  <c r="L15" i="1"/>
  <c r="P15" i="1"/>
  <c r="J16" i="1"/>
  <c r="K16" i="1"/>
  <c r="L16" i="1"/>
  <c r="M16" i="1"/>
  <c r="N16" i="1"/>
  <c r="O16" i="1"/>
  <c r="P16" i="1"/>
  <c r="K14" i="1"/>
  <c r="M14" i="1"/>
  <c r="O14" i="1"/>
  <c r="K15" i="1"/>
  <c r="N15" i="1"/>
  <c r="O15" i="1"/>
  <c r="J17" i="1"/>
  <c r="K17" i="1"/>
  <c r="L17" i="1"/>
  <c r="M17" i="1"/>
  <c r="N17" i="1"/>
  <c r="O17" i="1"/>
  <c r="P17" i="1"/>
  <c r="J7" i="1"/>
  <c r="L7" i="1"/>
  <c r="N7" i="1"/>
  <c r="P7" i="1"/>
  <c r="K8" i="1"/>
  <c r="O8" i="1"/>
  <c r="K9" i="1"/>
  <c r="L9" i="1"/>
  <c r="M9" i="1"/>
  <c r="N9" i="1"/>
  <c r="O9" i="1"/>
  <c r="P9" i="1"/>
  <c r="K7" i="1"/>
  <c r="M7" i="1"/>
  <c r="J8" i="1"/>
  <c r="L8" i="1"/>
  <c r="N8" i="1"/>
  <c r="P8" i="1"/>
  <c r="K10" i="1"/>
  <c r="L10" i="1"/>
  <c r="M10" i="1"/>
  <c r="N10" i="1"/>
  <c r="O10" i="1"/>
  <c r="P10" i="1"/>
  <c r="D7" i="1"/>
  <c r="D8" i="1"/>
  <c r="C9" i="1"/>
  <c r="C10" i="1"/>
  <c r="C8" i="1"/>
  <c r="D9" i="1"/>
  <c r="D10" i="1"/>
  <c r="E7" i="1"/>
  <c r="E8" i="1"/>
  <c r="E9" i="1"/>
  <c r="E10" i="1"/>
  <c r="F7" i="1"/>
  <c r="F8" i="1"/>
  <c r="F9" i="1"/>
  <c r="F10" i="1"/>
  <c r="G7" i="1"/>
  <c r="G8" i="1"/>
  <c r="G9" i="1"/>
  <c r="H7" i="1"/>
  <c r="H8" i="1"/>
  <c r="H9" i="1"/>
  <c r="H10" i="1"/>
  <c r="I7" i="1"/>
  <c r="I10" i="1"/>
  <c r="I8" i="1"/>
  <c r="I9" i="1"/>
  <c r="C7" i="1"/>
  <c r="F73" i="1" l="1"/>
  <c r="F75" i="1"/>
  <c r="F74" i="1"/>
</calcChain>
</file>

<file path=xl/sharedStrings.xml><?xml version="1.0" encoding="utf-8"?>
<sst xmlns="http://schemas.openxmlformats.org/spreadsheetml/2006/main" count="1456" uniqueCount="204">
  <si>
    <t>Woche 38</t>
  </si>
  <si>
    <t>Montag</t>
  </si>
  <si>
    <t>Dienstag</t>
  </si>
  <si>
    <t>Mittwoch</t>
  </si>
  <si>
    <t>Donnerstag</t>
  </si>
  <si>
    <t>Freitag</t>
  </si>
  <si>
    <t>Samstag</t>
  </si>
  <si>
    <t>Sonntag</t>
  </si>
  <si>
    <t>Woche 39</t>
  </si>
  <si>
    <t>Woche 40</t>
  </si>
  <si>
    <t>Woche 41</t>
  </si>
  <si>
    <t>Woche 42</t>
  </si>
  <si>
    <t>Woche 43</t>
  </si>
  <si>
    <t>Woche 44</t>
  </si>
  <si>
    <t>Woche 45</t>
  </si>
  <si>
    <t>Woche 46</t>
  </si>
  <si>
    <t>Woche 47</t>
  </si>
  <si>
    <t>Woche 48</t>
  </si>
  <si>
    <t>Woche 49</t>
  </si>
  <si>
    <t>Woche 50</t>
  </si>
  <si>
    <t>Woche 51</t>
  </si>
  <si>
    <t>Woche 52</t>
  </si>
  <si>
    <t>Woche</t>
  </si>
  <si>
    <t>Datum:</t>
  </si>
  <si>
    <t>Tag</t>
  </si>
  <si>
    <t>Fabian Kammermann</t>
  </si>
  <si>
    <t>Patrick Jolo</t>
  </si>
  <si>
    <t>Remy Lam</t>
  </si>
  <si>
    <t>Pascal Dittli</t>
  </si>
  <si>
    <t>Woche 1</t>
  </si>
  <si>
    <t>Woche 3</t>
  </si>
  <si>
    <t>Woche 2</t>
  </si>
  <si>
    <t>Legende:</t>
  </si>
  <si>
    <t>zur Verfügung:</t>
  </si>
  <si>
    <t>19.09.16</t>
  </si>
  <si>
    <t>20.09.16</t>
  </si>
  <si>
    <t>21.09.16</t>
  </si>
  <si>
    <t>25.09.16</t>
  </si>
  <si>
    <t>24.09.16</t>
  </si>
  <si>
    <t>23.09.16</t>
  </si>
  <si>
    <t>22.09.16</t>
  </si>
  <si>
    <t>Frei</t>
  </si>
  <si>
    <t>Status</t>
  </si>
  <si>
    <t>Besetzt</t>
  </si>
  <si>
    <t>Stundenanzahl:</t>
  </si>
  <si>
    <t>Formel Stundenberechnung</t>
  </si>
  <si>
    <t>Anzahl freie Zellen (grün) /2</t>
  </si>
  <si>
    <t>1 Zelle = 30 min</t>
  </si>
  <si>
    <t>Liste Personen</t>
  </si>
  <si>
    <t>Wochentag:</t>
  </si>
  <si>
    <t>Zeit:</t>
  </si>
  <si>
    <t>26.09.16</t>
  </si>
  <si>
    <t>27.09.16</t>
  </si>
  <si>
    <t>28.09.16</t>
  </si>
  <si>
    <t>29.09.16</t>
  </si>
  <si>
    <t>30.09.16</t>
  </si>
  <si>
    <t>01.10.16</t>
  </si>
  <si>
    <t>02.10.16</t>
  </si>
  <si>
    <t>Anzahl grüne Zellen in Kolonne /2</t>
  </si>
  <si>
    <t>Anleitung zum Eintragen von Daten:</t>
  </si>
  <si>
    <t>Die restlichen Operationen werden im Dokument anschliessend selbstständig übernomen.</t>
  </si>
  <si>
    <t>03.10.16</t>
  </si>
  <si>
    <t>04.10.16</t>
  </si>
  <si>
    <t>05.10.16</t>
  </si>
  <si>
    <t>06.10.16</t>
  </si>
  <si>
    <t>07.10.16</t>
  </si>
  <si>
    <t>08.10.16</t>
  </si>
  <si>
    <t>09.10.16</t>
  </si>
  <si>
    <t>10.10.16</t>
  </si>
  <si>
    <t>11.10.16</t>
  </si>
  <si>
    <t>12.10.16</t>
  </si>
  <si>
    <t>13.10.16</t>
  </si>
  <si>
    <t>14.10.16</t>
  </si>
  <si>
    <t>15.10.16</t>
  </si>
  <si>
    <t>16.10.16</t>
  </si>
  <si>
    <t>17.10.16</t>
  </si>
  <si>
    <t>18.10.16</t>
  </si>
  <si>
    <t>19.10.16</t>
  </si>
  <si>
    <t>20.10.16</t>
  </si>
  <si>
    <t>21.10.16</t>
  </si>
  <si>
    <t>22.10.16</t>
  </si>
  <si>
    <t>23.10.16</t>
  </si>
  <si>
    <t>24.10.16</t>
  </si>
  <si>
    <t>25.10.16</t>
  </si>
  <si>
    <t>26.10.16</t>
  </si>
  <si>
    <t>27.10.16</t>
  </si>
  <si>
    <t>28.10.16</t>
  </si>
  <si>
    <t>29.10.16</t>
  </si>
  <si>
    <t>30.10.16</t>
  </si>
  <si>
    <t xml:space="preserve">Hold down the ALT + F11 keys, and it opens the Microsoft Visual Basic for Applications window. </t>
  </si>
  <si>
    <t>2. Click Insert &gt; Module, and paste the following code in the Module Window.</t>
  </si>
  <si>
    <t xml:space="preserve"> VBA: Count and sum cells based on backgroud color. </t>
  </si>
  <si>
    <r>
      <t>Function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ColorFunction(rColor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Range, rRange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Range, </t>
    </r>
    <r>
      <rPr>
        <b/>
        <sz val="11"/>
        <color rgb="FF006699"/>
        <rFont val="Consolas"/>
        <family val="3"/>
      </rPr>
      <t>Optional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SUM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Boolean</t>
    </r>
    <r>
      <rPr>
        <sz val="11"/>
        <color rgb="FF000000"/>
        <rFont val="Consolas"/>
        <family val="3"/>
      </rPr>
      <t>)</t>
    </r>
  </si>
  <si>
    <r>
      <t>Dim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Range</t>
    </r>
  </si>
  <si>
    <r>
      <t>Dim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lCol </t>
    </r>
    <r>
      <rPr>
        <b/>
        <sz val="11"/>
        <color rgb="FF006699"/>
        <rFont val="Consolas"/>
        <family val="3"/>
      </rPr>
      <t>As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Long</t>
    </r>
  </si>
  <si>
    <r>
      <t>Dim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vResult</t>
    </r>
  </si>
  <si>
    <t>lCol = rColor.Interior.ColorIndex</t>
  </si>
  <si>
    <r>
      <t>If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SUM = </t>
    </r>
    <r>
      <rPr>
        <b/>
        <sz val="11"/>
        <color rgb="FF006699"/>
        <rFont val="Consolas"/>
        <family val="3"/>
      </rPr>
      <t>True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Then</t>
    </r>
  </si>
  <si>
    <r>
      <t>For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Each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 </t>
    </r>
    <r>
      <rPr>
        <b/>
        <sz val="11"/>
        <color rgb="FF006699"/>
        <rFont val="Consolas"/>
        <family val="3"/>
      </rPr>
      <t>In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rRange</t>
    </r>
  </si>
  <si>
    <r>
      <t>If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rCell.Interior.ColorIndex = lCol </t>
    </r>
    <r>
      <rPr>
        <b/>
        <sz val="11"/>
        <color rgb="FF006699"/>
        <rFont val="Consolas"/>
        <family val="3"/>
      </rPr>
      <t>Then</t>
    </r>
  </si>
  <si>
    <t>vResult = WorksheetFunction.SUM(rCell, vResult)</t>
  </si>
  <si>
    <r>
      <t>End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If</t>
    </r>
  </si>
  <si>
    <r>
      <t>Next</t>
    </r>
    <r>
      <rPr>
        <sz val="9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rCell</t>
    </r>
  </si>
  <si>
    <t>Else</t>
  </si>
  <si>
    <t>vResult = 1 + vResult</t>
  </si>
  <si>
    <t>ColorFunction = vResult</t>
  </si>
  <si>
    <r>
      <t>End</t>
    </r>
    <r>
      <rPr>
        <sz val="9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Function</t>
    </r>
  </si>
  <si>
    <t>31.10.16</t>
  </si>
  <si>
    <t>06.11.16</t>
  </si>
  <si>
    <t>05.11.16</t>
  </si>
  <si>
    <t>04.11.16</t>
  </si>
  <si>
    <t>03.11.16</t>
  </si>
  <si>
    <t>02.11.16</t>
  </si>
  <si>
    <t>01.11.16</t>
  </si>
  <si>
    <t>07.11.16</t>
  </si>
  <si>
    <t>08.11.16</t>
  </si>
  <si>
    <t>09.11.16</t>
  </si>
  <si>
    <t>10.11.16</t>
  </si>
  <si>
    <t>11.11.16</t>
  </si>
  <si>
    <t>12.11.16</t>
  </si>
  <si>
    <t>13.11.16</t>
  </si>
  <si>
    <t>14.11.16</t>
  </si>
  <si>
    <t>15.11.16</t>
  </si>
  <si>
    <t>16.11.16</t>
  </si>
  <si>
    <t>17.11.16</t>
  </si>
  <si>
    <t>18.11.16</t>
  </si>
  <si>
    <t>19.11.16</t>
  </si>
  <si>
    <t>20.11.16</t>
  </si>
  <si>
    <t>21.11.16</t>
  </si>
  <si>
    <t>22.11.16</t>
  </si>
  <si>
    <t>23.11.16</t>
  </si>
  <si>
    <t>24.11.16</t>
  </si>
  <si>
    <t>25.11.16</t>
  </si>
  <si>
    <t>26.11.16</t>
  </si>
  <si>
    <t>27.11.16</t>
  </si>
  <si>
    <t>28.11.16</t>
  </si>
  <si>
    <t>29.11.16</t>
  </si>
  <si>
    <t>30.11.16</t>
  </si>
  <si>
    <t>01.12.16</t>
  </si>
  <si>
    <t>02.12.16</t>
  </si>
  <si>
    <t>03.12.16</t>
  </si>
  <si>
    <t>04.12.16</t>
  </si>
  <si>
    <t>Besetzt:</t>
  </si>
  <si>
    <t>Wenn 30 min oder mehr genutzt werden können um am Modul zu arbeiten, gilt das als zur Verfügung</t>
  </si>
  <si>
    <t>12.12.16</t>
  </si>
  <si>
    <t>13.12.16</t>
  </si>
  <si>
    <t>14.12.16</t>
  </si>
  <si>
    <t>15.12.16</t>
  </si>
  <si>
    <t>16.12.16</t>
  </si>
  <si>
    <t>17.12.16</t>
  </si>
  <si>
    <t>18.12.16</t>
  </si>
  <si>
    <t>05.12.16</t>
  </si>
  <si>
    <t>06.12.16</t>
  </si>
  <si>
    <t>07.12.16</t>
  </si>
  <si>
    <t>08.12.16</t>
  </si>
  <si>
    <t>09.12.16</t>
  </si>
  <si>
    <t>10.12.16</t>
  </si>
  <si>
    <t>11.12.16</t>
  </si>
  <si>
    <t>19.12.16</t>
  </si>
  <si>
    <t>20.12.16</t>
  </si>
  <si>
    <t>21.12.16</t>
  </si>
  <si>
    <t>22.12.16</t>
  </si>
  <si>
    <t>23.12.16</t>
  </si>
  <si>
    <t>24.12.16</t>
  </si>
  <si>
    <t>25.12.16</t>
  </si>
  <si>
    <t>26.12.16</t>
  </si>
  <si>
    <t>27.12.16</t>
  </si>
  <si>
    <t>28.12.16</t>
  </si>
  <si>
    <t>29.12.16</t>
  </si>
  <si>
    <t>30.12.16</t>
  </si>
  <si>
    <t>31.12.16</t>
  </si>
  <si>
    <t>01.01.17</t>
  </si>
  <si>
    <t>02.01.17</t>
  </si>
  <si>
    <t>03.01.17</t>
  </si>
  <si>
    <t>04.01.17</t>
  </si>
  <si>
    <t>05.01.17</t>
  </si>
  <si>
    <t>06.01.17</t>
  </si>
  <si>
    <t>07.01.17</t>
  </si>
  <si>
    <t>08.01.17</t>
  </si>
  <si>
    <t>09.01.17</t>
  </si>
  <si>
    <t>10.01.17</t>
  </si>
  <si>
    <t>11.01.17</t>
  </si>
  <si>
    <t>12.01.17</t>
  </si>
  <si>
    <t>13.01.17</t>
  </si>
  <si>
    <t>14.01.17</t>
  </si>
  <si>
    <t>15.01.17</t>
  </si>
  <si>
    <t>16.01.17</t>
  </si>
  <si>
    <t>17.01.17</t>
  </si>
  <si>
    <t>18.01.17</t>
  </si>
  <si>
    <t>19.01.17</t>
  </si>
  <si>
    <t>20.01.17</t>
  </si>
  <si>
    <t>21.01.17</t>
  </si>
  <si>
    <t>22.01.17</t>
  </si>
  <si>
    <t>Gewünschtes Wochensheet auswählen, und freie Zeit mit der Füllfarbe Grün (siehe Legende unen) füllen</t>
  </si>
  <si>
    <t>Anschliessend in der Zelle Summe dieses Tages anklicken, ins Formelfeld gehen und Enter drücken, es sollte nun die Stundenanzahl erscheinen</t>
  </si>
  <si>
    <t>Verfügbare Zeit:</t>
  </si>
  <si>
    <t>Fabian Kammermann:</t>
  </si>
  <si>
    <t>Patrick Jolo:</t>
  </si>
  <si>
    <t>Pascal Dittli:</t>
  </si>
  <si>
    <t>Remy Lam:</t>
  </si>
  <si>
    <t>Stunden</t>
  </si>
  <si>
    <t>Verfügbare Studen Total</t>
  </si>
  <si>
    <t>v</t>
  </si>
  <si>
    <t xml:space="preserve">Tagesplaner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</si>
</sst>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/yy;@"/>
    <numFmt numFmtId="165" formatCode="h\.mm&quot; h&quot;;@"/>
  </numFmts>
  <fonts count="9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9"/>
      <color rgb="FF0A0101"/>
      <name val="Consolas"/>
      <family val="3"/>
    </font>
    <font>
      <b/>
      <sz val="11"/>
      <color rgb="FF006699"/>
      <name val="Consolas"/>
      <family val="3"/>
    </font>
    <font>
      <sz val="11"/>
      <color rgb="FF000000"/>
      <name val="Consolas"/>
      <family val="3"/>
    </font>
    <font>
      <sz val="11"/>
      <color theme="5" tint="0.59999389629810485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9">
    <xf numFmtId="0" fontId="0" fillId="0" borderId="0" xfId="0"/>
    <xf numFmtId="164" fontId="0" fillId="0" borderId="0" xfId="0" applyNumberFormat="1"/>
    <xf numFmtId="0" fontId="0" fillId="0" borderId="0" xfId="0" applyBorder="1"/>
    <xf numFmtId="164" fontId="0" fillId="0" borderId="3" xfId="0" applyNumberFormat="1" applyBorder="1"/>
    <xf numFmtId="0" fontId="2" fillId="0" borderId="0" xfId="0" applyFont="1"/>
    <xf numFmtId="164" fontId="0" fillId="0" borderId="0" xfId="0" applyNumberFormat="1" applyBorder="1"/>
    <xf numFmtId="0" fontId="1" fillId="0" borderId="0" xfId="1"/>
    <xf numFmtId="0" fontId="0" fillId="0" borderId="12" xfId="0" applyBorder="1"/>
    <xf numFmtId="0" fontId="2" fillId="0" borderId="4" xfId="0" applyFont="1" applyBorder="1"/>
    <xf numFmtId="0" fontId="0" fillId="3" borderId="0" xfId="0" applyFill="1"/>
    <xf numFmtId="0" fontId="0" fillId="0" borderId="6" xfId="0" applyBorder="1"/>
    <xf numFmtId="0" fontId="2" fillId="0" borderId="6" xfId="0" applyFont="1" applyBorder="1"/>
    <xf numFmtId="0" fontId="0" fillId="0" borderId="6" xfId="0" applyFill="1" applyBorder="1"/>
    <xf numFmtId="0" fontId="0" fillId="3" borderId="6" xfId="0" applyFill="1" applyBorder="1"/>
    <xf numFmtId="0" fontId="0" fillId="4" borderId="0" xfId="0" applyFill="1"/>
    <xf numFmtId="0" fontId="0" fillId="4" borderId="6" xfId="0" applyFill="1" applyBorder="1"/>
    <xf numFmtId="0" fontId="0" fillId="0" borderId="9" xfId="0" applyBorder="1"/>
    <xf numFmtId="0" fontId="0" fillId="0" borderId="14" xfId="0" applyBorder="1"/>
    <xf numFmtId="0" fontId="0" fillId="0" borderId="14" xfId="0" applyFill="1" applyBorder="1"/>
    <xf numFmtId="0" fontId="0" fillId="3" borderId="14" xfId="0" applyFill="1" applyBorder="1"/>
    <xf numFmtId="0" fontId="0" fillId="0" borderId="16" xfId="0" applyBorder="1"/>
    <xf numFmtId="0" fontId="0" fillId="4" borderId="14" xfId="0" applyFill="1" applyBorder="1"/>
    <xf numFmtId="0" fontId="2" fillId="0" borderId="0" xfId="0" applyFont="1" applyBorder="1" applyAlignment="1"/>
    <xf numFmtId="0" fontId="0" fillId="0" borderId="2" xfId="0" applyBorder="1"/>
    <xf numFmtId="0" fontId="2" fillId="0" borderId="8" xfId="0" applyFont="1" applyBorder="1"/>
    <xf numFmtId="0" fontId="2" fillId="0" borderId="3" xfId="0" applyFont="1" applyBorder="1"/>
    <xf numFmtId="0" fontId="2" fillId="0" borderId="5" xfId="0" applyFont="1" applyBorder="1"/>
    <xf numFmtId="165" fontId="2" fillId="0" borderId="6" xfId="0" applyNumberFormat="1" applyFont="1" applyBorder="1"/>
    <xf numFmtId="165" fontId="2" fillId="0" borderId="9" xfId="0" applyNumberFormat="1" applyFont="1" applyBorder="1"/>
    <xf numFmtId="0" fontId="0" fillId="2" borderId="11" xfId="0" applyNumberFormat="1" applyFill="1" applyBorder="1"/>
    <xf numFmtId="0" fontId="2" fillId="0" borderId="0" xfId="0" applyFont="1" applyFill="1" applyBorder="1"/>
    <xf numFmtId="0" fontId="3" fillId="0" borderId="0" xfId="0" applyFont="1"/>
    <xf numFmtId="0" fontId="5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0" borderId="9" xfId="0" applyFill="1" applyBorder="1"/>
    <xf numFmtId="0" fontId="0" fillId="0" borderId="0" xfId="0" applyFill="1"/>
    <xf numFmtId="0" fontId="7" fillId="5" borderId="0" xfId="0" applyFont="1" applyFill="1"/>
    <xf numFmtId="0" fontId="0" fillId="2" borderId="18" xfId="0" applyNumberFormat="1" applyFill="1" applyBorder="1"/>
    <xf numFmtId="164" fontId="0" fillId="0" borderId="5" xfId="0" applyNumberFormat="1" applyBorder="1"/>
    <xf numFmtId="164" fontId="0" fillId="0" borderId="20" xfId="0" applyNumberFormat="1" applyBorder="1"/>
    <xf numFmtId="0" fontId="0" fillId="2" borderId="13" xfId="0" applyNumberFormat="1" applyFill="1" applyBorder="1"/>
    <xf numFmtId="0" fontId="0" fillId="2" borderId="21" xfId="0" applyNumberFormat="1" applyFill="1" applyBorder="1"/>
    <xf numFmtId="0" fontId="2" fillId="0" borderId="19" xfId="0" applyFont="1" applyBorder="1"/>
    <xf numFmtId="164" fontId="2" fillId="0" borderId="19" xfId="0" applyNumberFormat="1" applyFont="1" applyBorder="1"/>
    <xf numFmtId="0" fontId="0" fillId="0" borderId="23" xfId="0" applyBorder="1"/>
    <xf numFmtId="0" fontId="0" fillId="0" borderId="19" xfId="0" applyBorder="1"/>
    <xf numFmtId="0" fontId="0" fillId="0" borderId="22" xfId="0" applyBorder="1"/>
    <xf numFmtId="0" fontId="0" fillId="0" borderId="4" xfId="0" applyBorder="1"/>
    <xf numFmtId="164" fontId="2" fillId="0" borderId="22" xfId="0" applyNumberFormat="1" applyFont="1" applyBorder="1"/>
    <xf numFmtId="0" fontId="0" fillId="0" borderId="24" xfId="0" applyBorder="1"/>
    <xf numFmtId="0" fontId="0" fillId="2" borderId="26" xfId="0" applyNumberForma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8" fillId="4" borderId="6" xfId="0" applyFont="1" applyFill="1" applyBorder="1"/>
    <xf numFmtId="0" fontId="0" fillId="3" borderId="16" xfId="0" applyFill="1" applyBorder="1"/>
    <xf numFmtId="0" fontId="0" fillId="0" borderId="0" xfId="0" applyFill="1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2" xfId="1" applyBorder="1" applyAlignment="1">
      <alignment horizontal="left"/>
    </xf>
    <xf numFmtId="164" fontId="2" fillId="0" borderId="17" xfId="0" applyNumberFormat="1" applyFont="1" applyBorder="1" applyAlignment="1">
      <alignment horizontal="center"/>
    </xf>
    <xf numFmtId="164" fontId="2" fillId="0" borderId="10" xfId="0" applyNumberFormat="1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</cellXfs>
  <cellStyles count="2">
    <cellStyle name="Standard" xfId="0" builtinId="0"/>
    <cellStyle name="Überschrift" xfId="1" builtinId="15"/>
  </cellStyles>
  <dxfs count="158"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X76"/>
  <sheetViews>
    <sheetView topLeftCell="A46" zoomScale="70" zoomScaleNormal="70" workbookViewId="0">
      <selection activeCell="A2" sqref="A2"/>
    </sheetView>
  </sheetViews>
  <sheetFormatPr baseColWidth="10" defaultColWidth="9.08984375" defaultRowHeight="14.5" x14ac:dyDescent="0.35"/>
  <cols>
    <col min="2" max="2" width="24.08984375" customWidth="1"/>
    <col min="5" max="5" width="9.453125" customWidth="1"/>
    <col min="6" max="6" width="11.08984375" customWidth="1"/>
    <col min="13" max="13" width="10.90625" customWidth="1"/>
  </cols>
  <sheetData>
    <row r="2" spans="1:128" ht="23.5" x14ac:dyDescent="0.55000000000000004">
      <c r="B2" s="6" t="s">
        <v>203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28" ht="15" thickBot="1" x14ac:dyDescent="0.4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</row>
    <row r="4" spans="1:128" ht="15" thickBot="1" x14ac:dyDescent="0.4">
      <c r="A4" s="2"/>
      <c r="B4" s="42" t="s">
        <v>22</v>
      </c>
      <c r="C4" s="60" t="s">
        <v>0</v>
      </c>
      <c r="D4" s="61"/>
      <c r="E4" s="61"/>
      <c r="F4" s="61"/>
      <c r="G4" s="61"/>
      <c r="H4" s="61"/>
      <c r="I4" s="62"/>
      <c r="J4" s="60" t="s">
        <v>8</v>
      </c>
      <c r="K4" s="61"/>
      <c r="L4" s="61"/>
      <c r="M4" s="61"/>
      <c r="N4" s="61"/>
      <c r="O4" s="61"/>
      <c r="P4" s="62"/>
      <c r="Q4" s="59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65"/>
      <c r="DX4" s="2"/>
    </row>
    <row r="5" spans="1:128" x14ac:dyDescent="0.35">
      <c r="B5" s="42" t="s">
        <v>24</v>
      </c>
      <c r="C5" s="16" t="s">
        <v>1</v>
      </c>
      <c r="D5" s="20" t="s">
        <v>2</v>
      </c>
      <c r="E5" s="20" t="s">
        <v>3</v>
      </c>
      <c r="F5" s="20" t="s">
        <v>4</v>
      </c>
      <c r="G5" s="20" t="s">
        <v>5</v>
      </c>
      <c r="H5" s="20" t="s">
        <v>6</v>
      </c>
      <c r="I5" s="49" t="s">
        <v>7</v>
      </c>
      <c r="J5" s="16" t="s">
        <v>1</v>
      </c>
      <c r="K5" s="20" t="s">
        <v>2</v>
      </c>
      <c r="L5" s="20" t="s">
        <v>3</v>
      </c>
      <c r="M5" s="20" t="s">
        <v>4</v>
      </c>
      <c r="N5" s="20" t="s">
        <v>5</v>
      </c>
      <c r="O5" s="20" t="s">
        <v>6</v>
      </c>
      <c r="P5" s="53" t="s">
        <v>7</v>
      </c>
      <c r="Q5" s="2"/>
      <c r="R5" s="30" t="s">
        <v>59</v>
      </c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</row>
    <row r="6" spans="1:128" s="1" customFormat="1" ht="15" thickBot="1" x14ac:dyDescent="0.4">
      <c r="B6" s="43" t="s">
        <v>23</v>
      </c>
      <c r="C6" s="38">
        <v>42632</v>
      </c>
      <c r="D6" s="3">
        <v>42633</v>
      </c>
      <c r="E6" s="3">
        <v>42634</v>
      </c>
      <c r="F6" s="3">
        <v>42635</v>
      </c>
      <c r="G6" s="3">
        <v>42636</v>
      </c>
      <c r="H6" s="3">
        <v>42637</v>
      </c>
      <c r="I6" s="39">
        <v>42638</v>
      </c>
      <c r="J6" s="38">
        <v>42639</v>
      </c>
      <c r="K6" s="3">
        <v>42640</v>
      </c>
      <c r="L6" s="3">
        <v>42641</v>
      </c>
      <c r="M6" s="3">
        <v>42642</v>
      </c>
      <c r="N6" s="3">
        <v>42643</v>
      </c>
      <c r="O6" s="3">
        <v>42644</v>
      </c>
      <c r="P6" s="39">
        <v>42645</v>
      </c>
      <c r="Q6" s="5"/>
      <c r="R6" s="5" t="s">
        <v>193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</row>
    <row r="7" spans="1:128" ht="15" thickBot="1" x14ac:dyDescent="0.4">
      <c r="B7" s="44" t="s">
        <v>25</v>
      </c>
      <c r="C7" s="29">
        <f>Woche_38!B41</f>
        <v>5</v>
      </c>
      <c r="D7" s="29">
        <f>Woche_38!F41</f>
        <v>3</v>
      </c>
      <c r="E7" s="29">
        <f>Woche_38!J41</f>
        <v>4.5</v>
      </c>
      <c r="F7" s="29">
        <f>Woche_38!N41</f>
        <v>3</v>
      </c>
      <c r="G7" s="29">
        <f>Woche_38!R41</f>
        <v>0</v>
      </c>
      <c r="H7" s="29">
        <f>Woche_38!V41</f>
        <v>2.5</v>
      </c>
      <c r="I7" s="40">
        <f>Woche_38!Z41</f>
        <v>0</v>
      </c>
      <c r="J7" s="29">
        <f>Woche_39!B41</f>
        <v>5</v>
      </c>
      <c r="K7" s="29">
        <f>Woche_39!F41</f>
        <v>3</v>
      </c>
      <c r="L7" s="29">
        <f>Woche_39!J41</f>
        <v>8</v>
      </c>
      <c r="M7" s="29">
        <f>Woche_39!N41</f>
        <v>3</v>
      </c>
      <c r="N7" s="29">
        <f>Woche_39!R41</f>
        <v>0</v>
      </c>
      <c r="O7" s="29">
        <f>Woche_39!AV41</f>
        <v>0</v>
      </c>
      <c r="P7" s="40">
        <f>Woche_39!Z41</f>
        <v>0</v>
      </c>
      <c r="Q7" s="2"/>
      <c r="R7" t="s">
        <v>194</v>
      </c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</row>
    <row r="8" spans="1:128" ht="15" thickBot="1" x14ac:dyDescent="0.4">
      <c r="B8" s="44" t="s">
        <v>26</v>
      </c>
      <c r="C8" s="29">
        <f>Woche_38!C41</f>
        <v>3.5</v>
      </c>
      <c r="D8" s="29">
        <f>Woche_38!G41</f>
        <v>3.5</v>
      </c>
      <c r="E8" s="29">
        <f>Woche_38!K41</f>
        <v>10</v>
      </c>
      <c r="F8" s="29">
        <f>Woche_38!O41</f>
        <v>3.5</v>
      </c>
      <c r="G8" s="29">
        <f>Woche_38!S41</f>
        <v>1.5</v>
      </c>
      <c r="H8" s="29">
        <f>Woche_38!W41</f>
        <v>4.5</v>
      </c>
      <c r="I8" s="40">
        <f>Woche_38!AA41</f>
        <v>0</v>
      </c>
      <c r="J8" s="29">
        <f>Woche_39!C41</f>
        <v>6</v>
      </c>
      <c r="K8" s="29">
        <f>Woche_39!G41</f>
        <v>3.5</v>
      </c>
      <c r="L8" s="29">
        <f>Woche_39!K41</f>
        <v>10</v>
      </c>
      <c r="M8" s="29">
        <f>Woche_39!VO41</f>
        <v>0</v>
      </c>
      <c r="N8" s="29">
        <f>Woche_39!S41</f>
        <v>1.5</v>
      </c>
      <c r="O8" s="29">
        <f>Woche_39!W41</f>
        <v>4.5</v>
      </c>
      <c r="P8" s="40">
        <f>Woche_39!AA41</f>
        <v>0</v>
      </c>
      <c r="R8" s="2" t="s">
        <v>60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</row>
    <row r="9" spans="1:128" ht="15" thickBot="1" x14ac:dyDescent="0.4">
      <c r="B9" s="45" t="s">
        <v>27</v>
      </c>
      <c r="C9" s="29">
        <f>Woche_38!D41</f>
        <v>3</v>
      </c>
      <c r="D9" s="29">
        <f>Woche_38!H41</f>
        <v>0</v>
      </c>
      <c r="E9" s="29">
        <f>Woche_38!L41</f>
        <v>6.5</v>
      </c>
      <c r="F9" s="29">
        <f>Woche_38!P41</f>
        <v>1</v>
      </c>
      <c r="G9" s="29">
        <f>Woche_38!T41</f>
        <v>0</v>
      </c>
      <c r="H9" s="29">
        <f>Woche_38!X41</f>
        <v>2.5</v>
      </c>
      <c r="I9" s="40">
        <f>Woche_38!AB41</f>
        <v>0</v>
      </c>
      <c r="J9" s="29">
        <f>Woche_39!D41</f>
        <v>0</v>
      </c>
      <c r="K9" s="29">
        <f>Woche_39!H41</f>
        <v>1.5</v>
      </c>
      <c r="L9" s="29">
        <f>Woche_39!L41</f>
        <v>7.5</v>
      </c>
      <c r="M9" s="29">
        <f>Woche_39!P41</f>
        <v>1</v>
      </c>
      <c r="N9" s="29">
        <f>Woche_39!T41</f>
        <v>0</v>
      </c>
      <c r="O9" s="29">
        <f>Woche_39!X41</f>
        <v>1.5</v>
      </c>
      <c r="P9" s="40">
        <f>Woche_39!AB41</f>
        <v>0</v>
      </c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</row>
    <row r="10" spans="1:128" ht="15" thickBot="1" x14ac:dyDescent="0.4">
      <c r="B10" s="44" t="s">
        <v>28</v>
      </c>
      <c r="C10" s="29">
        <f>Woche_38!E41</f>
        <v>3</v>
      </c>
      <c r="D10" s="29">
        <f>Woche_38!I41</f>
        <v>3.5</v>
      </c>
      <c r="E10" s="29">
        <f>Woche_38!M41</f>
        <v>10</v>
      </c>
      <c r="F10" s="29">
        <f>Woche_38!Q41</f>
        <v>0</v>
      </c>
      <c r="G10" s="29">
        <f>Woche_38!U41</f>
        <v>3</v>
      </c>
      <c r="H10" s="29">
        <f>Woche_38!Y41</f>
        <v>3.5</v>
      </c>
      <c r="I10" s="41">
        <f>Woche_38!AC41</f>
        <v>0</v>
      </c>
      <c r="J10" s="29">
        <f>Woche_39!E41</f>
        <v>2.5</v>
      </c>
      <c r="K10" s="29">
        <f>Woche_39!I41</f>
        <v>3.5</v>
      </c>
      <c r="L10" s="29">
        <f>Woche_39!M41</f>
        <v>10</v>
      </c>
      <c r="M10" s="29">
        <f>Woche_39!Q41</f>
        <v>0</v>
      </c>
      <c r="N10" s="29">
        <f>Woche_39!U41</f>
        <v>2.5</v>
      </c>
      <c r="O10" s="29">
        <f>Woche_39!Y41</f>
        <v>3</v>
      </c>
      <c r="P10" s="41">
        <f>Woche_39!AC41</f>
        <v>2.5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</row>
    <row r="11" spans="1:128" ht="15" thickBot="1" x14ac:dyDescent="0.4">
      <c r="B11" s="42" t="s">
        <v>22</v>
      </c>
      <c r="C11" s="60" t="s">
        <v>9</v>
      </c>
      <c r="D11" s="61"/>
      <c r="E11" s="61"/>
      <c r="F11" s="61"/>
      <c r="G11" s="61"/>
      <c r="H11" s="61"/>
      <c r="I11" s="62"/>
      <c r="J11" s="60" t="s">
        <v>10</v>
      </c>
      <c r="K11" s="61"/>
      <c r="L11" s="61"/>
      <c r="M11" s="61"/>
      <c r="N11" s="61"/>
      <c r="O11" s="61"/>
      <c r="P11" s="6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</row>
    <row r="12" spans="1:128" x14ac:dyDescent="0.35">
      <c r="B12" s="42" t="s">
        <v>24</v>
      </c>
      <c r="C12" s="16" t="s">
        <v>1</v>
      </c>
      <c r="D12" s="20" t="s">
        <v>2</v>
      </c>
      <c r="E12" s="20" t="s">
        <v>3</v>
      </c>
      <c r="F12" s="20" t="s">
        <v>4</v>
      </c>
      <c r="G12" s="20" t="s">
        <v>5</v>
      </c>
      <c r="H12" s="20" t="s">
        <v>6</v>
      </c>
      <c r="I12" s="49" t="s">
        <v>7</v>
      </c>
      <c r="J12" s="16" t="s">
        <v>1</v>
      </c>
      <c r="K12" s="20" t="s">
        <v>2</v>
      </c>
      <c r="L12" s="20" t="s">
        <v>3</v>
      </c>
      <c r="M12" s="20" t="s">
        <v>4</v>
      </c>
      <c r="N12" s="20" t="s">
        <v>5</v>
      </c>
      <c r="O12" s="20" t="s">
        <v>6</v>
      </c>
      <c r="P12" s="53" t="s">
        <v>7</v>
      </c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</row>
    <row r="13" spans="1:128" ht="15" thickBot="1" x14ac:dyDescent="0.4">
      <c r="B13" s="43" t="s">
        <v>23</v>
      </c>
      <c r="C13" s="38">
        <v>42646</v>
      </c>
      <c r="D13" s="3">
        <v>42647</v>
      </c>
      <c r="E13" s="3">
        <v>42648</v>
      </c>
      <c r="F13" s="3">
        <v>42649</v>
      </c>
      <c r="G13" s="3">
        <v>42650</v>
      </c>
      <c r="H13" s="3">
        <v>42651</v>
      </c>
      <c r="I13" s="39">
        <v>42652</v>
      </c>
      <c r="J13" s="38">
        <v>42653</v>
      </c>
      <c r="K13" s="3">
        <v>42654</v>
      </c>
      <c r="L13" s="3">
        <v>42655</v>
      </c>
      <c r="M13" s="3">
        <v>42656</v>
      </c>
      <c r="N13" s="3">
        <v>42657</v>
      </c>
      <c r="O13" s="3">
        <v>42658</v>
      </c>
      <c r="P13" s="39">
        <v>42659</v>
      </c>
    </row>
    <row r="14" spans="1:128" ht="15" thickBot="1" x14ac:dyDescent="0.4">
      <c r="B14" s="44" t="s">
        <v>25</v>
      </c>
      <c r="C14" s="29">
        <f>Woche_40!B41</f>
        <v>5</v>
      </c>
      <c r="D14" s="29">
        <f>Woche_40!F41</f>
        <v>3</v>
      </c>
      <c r="E14" s="29">
        <f>Woche_40!J41</f>
        <v>8</v>
      </c>
      <c r="F14" s="29">
        <f>Woche_40!N41</f>
        <v>3</v>
      </c>
      <c r="G14" s="29">
        <f>Woche_40!R41</f>
        <v>0</v>
      </c>
      <c r="H14" s="29">
        <f>Woche_40!V41</f>
        <v>2.5</v>
      </c>
      <c r="I14" s="40">
        <f>Woche_40!Z41</f>
        <v>0</v>
      </c>
      <c r="J14" s="29">
        <f>Woche_41!B41</f>
        <v>5</v>
      </c>
      <c r="K14" s="29">
        <f>Woche_41!F41</f>
        <v>3.5</v>
      </c>
      <c r="L14" s="29">
        <f>Woche_41!J41</f>
        <v>8</v>
      </c>
      <c r="M14" s="29">
        <f>Woche_41!N41</f>
        <v>3</v>
      </c>
      <c r="N14" s="29">
        <f>Woche_41!R41</f>
        <v>0</v>
      </c>
      <c r="O14" s="29">
        <f>Woche_41!V41</f>
        <v>2.5</v>
      </c>
      <c r="P14" s="40">
        <f>Woche_41!Z41</f>
        <v>0</v>
      </c>
    </row>
    <row r="15" spans="1:128" ht="15" thickBot="1" x14ac:dyDescent="0.4">
      <c r="B15" s="44" t="s">
        <v>26</v>
      </c>
      <c r="C15" s="29">
        <f>Woche_40!C41</f>
        <v>6</v>
      </c>
      <c r="D15" s="29">
        <f>Woche_40!G41</f>
        <v>3.5</v>
      </c>
      <c r="E15" s="29">
        <f>Woche_40!K41</f>
        <v>10</v>
      </c>
      <c r="F15" s="29">
        <f>Woche_40!O14</f>
        <v>0</v>
      </c>
      <c r="G15" s="29">
        <f>Woche_40!S41</f>
        <v>1.5</v>
      </c>
      <c r="H15" s="29">
        <f>Woche_40!W41</f>
        <v>4.5</v>
      </c>
      <c r="I15" s="40">
        <f>Woche_40!AA41</f>
        <v>0</v>
      </c>
      <c r="J15" s="29">
        <f>Woche_41!C48</f>
        <v>0</v>
      </c>
      <c r="K15" s="29">
        <f>Woche_41!G41</f>
        <v>3.5</v>
      </c>
      <c r="L15" s="29">
        <f>Woche_41!K41</f>
        <v>10</v>
      </c>
      <c r="M15" s="29">
        <f>Woche_41!VO14</f>
        <v>0</v>
      </c>
      <c r="N15" s="29">
        <f>Woche_41!S41</f>
        <v>1.5</v>
      </c>
      <c r="O15" s="29">
        <f>Woche_41!W41</f>
        <v>4.5</v>
      </c>
      <c r="P15" s="40">
        <f>Woche_41!AA41</f>
        <v>0</v>
      </c>
    </row>
    <row r="16" spans="1:128" ht="15" thickBot="1" x14ac:dyDescent="0.4">
      <c r="B16" s="45" t="s">
        <v>27</v>
      </c>
      <c r="C16" s="29">
        <f>Woche_40!D41</f>
        <v>1</v>
      </c>
      <c r="D16" s="29">
        <f>Woche_40!H41</f>
        <v>1</v>
      </c>
      <c r="E16" s="29">
        <f>Woche_40!L41</f>
        <v>7</v>
      </c>
      <c r="F16" s="29">
        <f>Woche_40!P41</f>
        <v>0</v>
      </c>
      <c r="G16" s="29">
        <f>Woche_40!T41</f>
        <v>0</v>
      </c>
      <c r="H16" s="29">
        <f>Woche_40!X41</f>
        <v>1.5</v>
      </c>
      <c r="I16" s="40">
        <f>Woche_40!AB41</f>
        <v>0</v>
      </c>
      <c r="J16" s="29">
        <f>Woche_41!D41</f>
        <v>1</v>
      </c>
      <c r="K16" s="29">
        <f>Woche_41!H41</f>
        <v>1.5</v>
      </c>
      <c r="L16" s="29">
        <f>Woche_41!L41</f>
        <v>7</v>
      </c>
      <c r="M16" s="29">
        <f>Woche_41!P41</f>
        <v>1</v>
      </c>
      <c r="N16" s="29">
        <f>Woche_41!T41</f>
        <v>1.5</v>
      </c>
      <c r="O16" s="29">
        <f>Woche_41!X41</f>
        <v>2</v>
      </c>
      <c r="P16" s="40">
        <f>Woche_41!AB41</f>
        <v>0</v>
      </c>
    </row>
    <row r="17" spans="2:18" ht="15" thickBot="1" x14ac:dyDescent="0.4">
      <c r="B17" s="44" t="s">
        <v>28</v>
      </c>
      <c r="C17" s="50">
        <f>Woche_40!E41</f>
        <v>2.5</v>
      </c>
      <c r="D17" s="37">
        <f>Woche_40!I41</f>
        <v>3.5</v>
      </c>
      <c r="E17" s="37">
        <f>Woche_40!M41</f>
        <v>10.5</v>
      </c>
      <c r="F17" s="37">
        <f>Woche_40!Q41</f>
        <v>0</v>
      </c>
      <c r="G17" s="37">
        <f>Woche_40!U41</f>
        <v>3</v>
      </c>
      <c r="H17" s="37">
        <f>Woche_40!Y41</f>
        <v>3.5</v>
      </c>
      <c r="I17" s="41">
        <f>Woche_40!AC41</f>
        <v>2.5</v>
      </c>
      <c r="J17" s="37">
        <f>Woche_41!E41</f>
        <v>2.5</v>
      </c>
      <c r="K17" s="37">
        <f>Woche_41!I41</f>
        <v>3.5</v>
      </c>
      <c r="L17" s="37">
        <f>Woche_41!M41</f>
        <v>10</v>
      </c>
      <c r="M17" s="37">
        <f>Woche_41!Q41</f>
        <v>0</v>
      </c>
      <c r="N17" s="37">
        <f>Woche_41!U41</f>
        <v>3</v>
      </c>
      <c r="O17" s="37">
        <f>Woche_41!Y41</f>
        <v>3.5</v>
      </c>
      <c r="P17" s="41">
        <f>Woche_41!AC41</f>
        <v>2.5</v>
      </c>
    </row>
    <row r="18" spans="2:18" ht="15" thickBot="1" x14ac:dyDescent="0.4">
      <c r="B18" s="8" t="s">
        <v>22</v>
      </c>
      <c r="C18" s="60" t="s">
        <v>11</v>
      </c>
      <c r="D18" s="61"/>
      <c r="E18" s="61"/>
      <c r="F18" s="61"/>
      <c r="G18" s="61"/>
      <c r="H18" s="61"/>
      <c r="I18" s="62"/>
      <c r="J18" s="60" t="s">
        <v>12</v>
      </c>
      <c r="K18" s="61"/>
      <c r="L18" s="61"/>
      <c r="M18" s="61"/>
      <c r="N18" s="61"/>
      <c r="O18" s="61"/>
      <c r="P18" s="62"/>
    </row>
    <row r="19" spans="2:18" x14ac:dyDescent="0.35">
      <c r="B19" s="42" t="s">
        <v>24</v>
      </c>
      <c r="C19" s="16" t="s">
        <v>1</v>
      </c>
      <c r="D19" s="20" t="s">
        <v>2</v>
      </c>
      <c r="E19" s="20" t="s">
        <v>3</v>
      </c>
      <c r="F19" s="20" t="s">
        <v>4</v>
      </c>
      <c r="G19" s="20" t="s">
        <v>5</v>
      </c>
      <c r="H19" s="20" t="s">
        <v>6</v>
      </c>
      <c r="I19" s="49" t="s">
        <v>7</v>
      </c>
      <c r="J19" s="16" t="s">
        <v>1</v>
      </c>
      <c r="K19" s="20" t="s">
        <v>2</v>
      </c>
      <c r="L19" s="20" t="s">
        <v>3</v>
      </c>
      <c r="M19" s="20" t="s">
        <v>4</v>
      </c>
      <c r="N19" s="20" t="s">
        <v>5</v>
      </c>
      <c r="O19" s="20" t="s">
        <v>6</v>
      </c>
      <c r="P19" s="53" t="s">
        <v>7</v>
      </c>
      <c r="R19" s="31" t="s">
        <v>89</v>
      </c>
    </row>
    <row r="20" spans="2:18" ht="15" thickBot="1" x14ac:dyDescent="0.4">
      <c r="B20" s="43" t="s">
        <v>23</v>
      </c>
      <c r="C20" s="38">
        <v>42660</v>
      </c>
      <c r="D20" s="3">
        <v>42661</v>
      </c>
      <c r="E20" s="3">
        <v>42662</v>
      </c>
      <c r="F20" s="3">
        <v>42663</v>
      </c>
      <c r="G20" s="3">
        <v>42664</v>
      </c>
      <c r="H20" s="3">
        <v>42665</v>
      </c>
      <c r="I20" s="39">
        <v>42666</v>
      </c>
      <c r="J20" s="38">
        <v>42667</v>
      </c>
      <c r="K20" s="3">
        <v>42668</v>
      </c>
      <c r="L20" s="3">
        <v>42669</v>
      </c>
      <c r="M20" s="3">
        <v>42670</v>
      </c>
      <c r="N20" s="3">
        <v>42671</v>
      </c>
      <c r="O20" s="3">
        <v>42672</v>
      </c>
      <c r="P20" s="39">
        <v>42673</v>
      </c>
      <c r="R20" t="s">
        <v>90</v>
      </c>
    </row>
    <row r="21" spans="2:18" ht="15" thickBot="1" x14ac:dyDescent="0.4">
      <c r="B21" s="44" t="s">
        <v>25</v>
      </c>
      <c r="C21" s="29">
        <f>Woche_42!B41</f>
        <v>5</v>
      </c>
      <c r="D21" s="29">
        <f>Woche_42!F41</f>
        <v>3</v>
      </c>
      <c r="E21" s="29">
        <f>Woche_42!J41</f>
        <v>8</v>
      </c>
      <c r="F21" s="29">
        <f>Woche_42!N41</f>
        <v>3</v>
      </c>
      <c r="G21" s="29">
        <f>Woche_42!R41</f>
        <v>0</v>
      </c>
      <c r="H21" s="29">
        <f>Woche_42!V41</f>
        <v>2.5</v>
      </c>
      <c r="I21" s="40">
        <f>Woche_42!Z41</f>
        <v>0</v>
      </c>
      <c r="J21" s="29">
        <f>Woche_42!B41</f>
        <v>5</v>
      </c>
      <c r="K21" s="29">
        <f>Woche_43!F41</f>
        <v>0</v>
      </c>
      <c r="L21" s="29">
        <f>Woche_43!J41</f>
        <v>8</v>
      </c>
      <c r="M21" s="29">
        <f>Woche_43!N41</f>
        <v>3</v>
      </c>
      <c r="N21" s="29">
        <f>Woche_43!R41</f>
        <v>0</v>
      </c>
      <c r="O21" s="29">
        <f>Woche_43!V41</f>
        <v>2.5</v>
      </c>
      <c r="P21" s="40">
        <f>Woche_43!Z41</f>
        <v>0</v>
      </c>
      <c r="R21" t="s">
        <v>91</v>
      </c>
    </row>
    <row r="22" spans="2:18" ht="15" thickBot="1" x14ac:dyDescent="0.4">
      <c r="B22" s="44" t="s">
        <v>26</v>
      </c>
      <c r="C22" s="29">
        <f>Woche_42!C41</f>
        <v>0</v>
      </c>
      <c r="D22" s="29">
        <f>Woche_42!G41</f>
        <v>3.5</v>
      </c>
      <c r="E22" s="29">
        <f>Woche_42!K41</f>
        <v>10</v>
      </c>
      <c r="F22" s="29">
        <f>Woche_42!O41</f>
        <v>3.5</v>
      </c>
      <c r="G22" s="29">
        <f>Woche_42!S41</f>
        <v>1.5</v>
      </c>
      <c r="H22" s="29">
        <f>Woche_42!W41</f>
        <v>4.5</v>
      </c>
      <c r="I22" s="40">
        <f>Woche_42!AA41</f>
        <v>0</v>
      </c>
      <c r="J22" s="29">
        <f>Woche_42!C41</f>
        <v>0</v>
      </c>
      <c r="K22" s="29">
        <f>Woche_43!G41</f>
        <v>0</v>
      </c>
      <c r="L22" s="29">
        <f>Woche_43!K41</f>
        <v>10</v>
      </c>
      <c r="M22" s="29">
        <f>Woche_43!O41</f>
        <v>3.5</v>
      </c>
      <c r="N22" s="29">
        <f>Woche_43!S41</f>
        <v>1.5</v>
      </c>
      <c r="O22" s="29">
        <f>Woche_43!W41</f>
        <v>4.5</v>
      </c>
      <c r="P22" s="40">
        <f>Woche_43!AA41</f>
        <v>0</v>
      </c>
    </row>
    <row r="23" spans="2:18" ht="15" thickBot="1" x14ac:dyDescent="0.4">
      <c r="B23" s="46" t="s">
        <v>27</v>
      </c>
      <c r="C23" s="29">
        <f>Woche_42!D41</f>
        <v>1</v>
      </c>
      <c r="D23" s="29">
        <f>Woche_42!H41</f>
        <v>2</v>
      </c>
      <c r="E23" s="29">
        <f>Woche_42!L41</f>
        <v>7</v>
      </c>
      <c r="F23" s="29">
        <f>Woche_42!P41</f>
        <v>1</v>
      </c>
      <c r="G23" s="29">
        <f>Woche_42!T41</f>
        <v>1.5</v>
      </c>
      <c r="H23" s="29">
        <f>Woche_42!X41</f>
        <v>1</v>
      </c>
      <c r="I23" s="40">
        <f>Woche_42!AB41</f>
        <v>0</v>
      </c>
      <c r="J23" s="29">
        <f>Woche_42!D41</f>
        <v>1</v>
      </c>
      <c r="K23" s="29">
        <f>Woche_43!H41</f>
        <v>1.5</v>
      </c>
      <c r="L23" s="29">
        <f>Woche_43!L41</f>
        <v>6.5</v>
      </c>
      <c r="M23" s="29">
        <f>Woche_43!P41</f>
        <v>1</v>
      </c>
      <c r="N23" s="29">
        <f>Woche_43!T41</f>
        <v>1</v>
      </c>
      <c r="O23" s="29">
        <f>Woche_43!X41</f>
        <v>0</v>
      </c>
      <c r="P23" s="40">
        <f>Woche_43!AB41</f>
        <v>0</v>
      </c>
    </row>
    <row r="24" spans="2:18" ht="15" thickBot="1" x14ac:dyDescent="0.4">
      <c r="B24" s="46" t="s">
        <v>28</v>
      </c>
      <c r="C24" s="29">
        <f>Woche_42!E41</f>
        <v>2.5</v>
      </c>
      <c r="D24" s="29">
        <f>Woche_42!I41</f>
        <v>3.5</v>
      </c>
      <c r="E24" s="29">
        <f>Woche_42!M41</f>
        <v>3</v>
      </c>
      <c r="F24" s="29">
        <f>Woche_42!Q41</f>
        <v>0</v>
      </c>
      <c r="G24" s="29">
        <f>Woche_42!U41</f>
        <v>3</v>
      </c>
      <c r="H24" s="29">
        <f>Woche_42!Y41</f>
        <v>3</v>
      </c>
      <c r="I24" s="41">
        <f>Woche_42!AC41</f>
        <v>0</v>
      </c>
      <c r="J24" s="37">
        <f>Woche_42!E41</f>
        <v>2.5</v>
      </c>
      <c r="K24" s="37">
        <f>Woche_43!I41</f>
        <v>0</v>
      </c>
      <c r="L24" s="29">
        <f>Woche_43!M41</f>
        <v>11</v>
      </c>
      <c r="M24" s="29">
        <f>Woche_43!Q41</f>
        <v>0</v>
      </c>
      <c r="N24" s="29">
        <f>Woche_43!U41</f>
        <v>5.5</v>
      </c>
      <c r="O24" s="29">
        <f>Woche_43!Y41</f>
        <v>0</v>
      </c>
      <c r="P24" s="41">
        <f>Woche_43!AC41</f>
        <v>0</v>
      </c>
    </row>
    <row r="25" spans="2:18" ht="15" thickBot="1" x14ac:dyDescent="0.4">
      <c r="B25" s="8" t="s">
        <v>22</v>
      </c>
      <c r="C25" s="60" t="s">
        <v>13</v>
      </c>
      <c r="D25" s="61"/>
      <c r="E25" s="61"/>
      <c r="F25" s="61"/>
      <c r="G25" s="61"/>
      <c r="H25" s="61"/>
      <c r="I25" s="62"/>
      <c r="J25" s="60" t="s">
        <v>14</v>
      </c>
      <c r="K25" s="61"/>
      <c r="L25" s="61"/>
      <c r="M25" s="61"/>
      <c r="N25" s="61"/>
      <c r="O25" s="61"/>
      <c r="P25" s="62"/>
      <c r="Q25" s="7"/>
      <c r="R25" s="32" t="s">
        <v>92</v>
      </c>
    </row>
    <row r="26" spans="2:18" x14ac:dyDescent="0.35">
      <c r="B26" s="42" t="s">
        <v>24</v>
      </c>
      <c r="C26" s="16" t="s">
        <v>1</v>
      </c>
      <c r="D26" s="20" t="s">
        <v>2</v>
      </c>
      <c r="E26" s="20" t="s">
        <v>3</v>
      </c>
      <c r="F26" s="20" t="s">
        <v>4</v>
      </c>
      <c r="G26" s="20" t="s">
        <v>5</v>
      </c>
      <c r="H26" s="20" t="s">
        <v>6</v>
      </c>
      <c r="I26" s="49" t="s">
        <v>7</v>
      </c>
      <c r="J26" s="16" t="s">
        <v>1</v>
      </c>
      <c r="K26" s="20" t="s">
        <v>2</v>
      </c>
      <c r="L26" s="20" t="s">
        <v>3</v>
      </c>
      <c r="M26" s="20" t="s">
        <v>4</v>
      </c>
      <c r="N26" s="20" t="s">
        <v>5</v>
      </c>
      <c r="O26" s="20" t="s">
        <v>6</v>
      </c>
      <c r="P26" s="53" t="s">
        <v>7</v>
      </c>
      <c r="R26" s="32" t="s">
        <v>93</v>
      </c>
    </row>
    <row r="27" spans="2:18" ht="15" thickBot="1" x14ac:dyDescent="0.4">
      <c r="B27" s="43" t="s">
        <v>23</v>
      </c>
      <c r="C27" s="38">
        <v>42674</v>
      </c>
      <c r="D27" s="3">
        <v>42675</v>
      </c>
      <c r="E27" s="3">
        <v>42676</v>
      </c>
      <c r="F27" s="3">
        <v>42677</v>
      </c>
      <c r="G27" s="3">
        <v>42678</v>
      </c>
      <c r="H27" s="3">
        <v>42679</v>
      </c>
      <c r="I27" s="39">
        <v>42680</v>
      </c>
      <c r="J27" s="38">
        <v>42681</v>
      </c>
      <c r="K27" s="3">
        <v>42682</v>
      </c>
      <c r="L27" s="3">
        <v>42683</v>
      </c>
      <c r="M27" s="3">
        <v>42684</v>
      </c>
      <c r="N27" s="3">
        <v>42685</v>
      </c>
      <c r="O27" s="3">
        <v>42686</v>
      </c>
      <c r="P27" s="39">
        <v>42687</v>
      </c>
      <c r="R27" s="32" t="s">
        <v>94</v>
      </c>
    </row>
    <row r="28" spans="2:18" ht="15" thickBot="1" x14ac:dyDescent="0.4">
      <c r="B28" s="44" t="s">
        <v>25</v>
      </c>
      <c r="C28" s="29">
        <f>Woche_44!B41</f>
        <v>5</v>
      </c>
      <c r="D28" s="29">
        <f>Woche_44!E41</f>
        <v>2.5</v>
      </c>
      <c r="E28" s="29">
        <f>Woche_44!J41</f>
        <v>8</v>
      </c>
      <c r="F28" s="29">
        <f>Woche_44!N41</f>
        <v>3</v>
      </c>
      <c r="G28" s="29">
        <f>Woche_44!R41</f>
        <v>0</v>
      </c>
      <c r="H28" s="29">
        <f>Woche_44!V41</f>
        <v>2.5</v>
      </c>
      <c r="I28" s="40">
        <f>Woche_44!Z41</f>
        <v>0</v>
      </c>
      <c r="J28" s="29">
        <f>Woche_45!B41</f>
        <v>5</v>
      </c>
      <c r="K28" s="29">
        <f>Woche_45!F41</f>
        <v>3</v>
      </c>
      <c r="L28" s="29">
        <f>Woche_45!J41</f>
        <v>8</v>
      </c>
      <c r="M28" s="29">
        <f>Woche_45!N41</f>
        <v>3</v>
      </c>
      <c r="N28" s="29">
        <f>Woche_45!R41</f>
        <v>0</v>
      </c>
      <c r="O28" s="29">
        <f>Woche_45!V41</f>
        <v>2.5</v>
      </c>
      <c r="P28" s="40">
        <f>Woche_45!Z41</f>
        <v>0</v>
      </c>
      <c r="R28" s="32" t="s">
        <v>95</v>
      </c>
    </row>
    <row r="29" spans="2:18" ht="15" thickBot="1" x14ac:dyDescent="0.4">
      <c r="B29" s="46" t="s">
        <v>26</v>
      </c>
      <c r="C29" s="29">
        <f>Woche_44!C41</f>
        <v>6</v>
      </c>
      <c r="D29" s="29">
        <f>Woche_44!F41</f>
        <v>3</v>
      </c>
      <c r="E29" s="29">
        <f>Woche_44!K41</f>
        <v>10</v>
      </c>
      <c r="F29" s="29">
        <f>Woche_44!O41</f>
        <v>3.5</v>
      </c>
      <c r="G29" s="29">
        <f>Woche_44!S41</f>
        <v>1.5</v>
      </c>
      <c r="H29" s="29">
        <f>Woche_44!W41</f>
        <v>4.5</v>
      </c>
      <c r="I29" s="40">
        <f>Woche_44!AA41</f>
        <v>0</v>
      </c>
      <c r="J29" s="29">
        <f>Woche_45!C41</f>
        <v>6</v>
      </c>
      <c r="K29" s="29">
        <f>Woche_45!G41</f>
        <v>3.5</v>
      </c>
      <c r="L29" s="29">
        <f>Woche_45!K41</f>
        <v>10</v>
      </c>
      <c r="M29" s="29">
        <f>Woche_45!O41</f>
        <v>3.5</v>
      </c>
      <c r="N29" s="29">
        <f>Woche_45!S41</f>
        <v>1.5</v>
      </c>
      <c r="O29" s="29">
        <f>Woche_45!W41</f>
        <v>4.5</v>
      </c>
      <c r="P29" s="40">
        <f>Woche_45!AA41</f>
        <v>0</v>
      </c>
      <c r="R29" s="33" t="s">
        <v>96</v>
      </c>
    </row>
    <row r="30" spans="2:18" ht="15" thickBot="1" x14ac:dyDescent="0.4">
      <c r="B30" s="46" t="s">
        <v>27</v>
      </c>
      <c r="C30" s="29">
        <f>Woche_44!D41</f>
        <v>1</v>
      </c>
      <c r="D30" s="29">
        <f>Woche_44!G41</f>
        <v>3.5</v>
      </c>
      <c r="E30" s="29">
        <f>Woche_44!L41</f>
        <v>6.5</v>
      </c>
      <c r="F30" s="29">
        <f>Woche_44!P41</f>
        <v>2</v>
      </c>
      <c r="G30" s="29">
        <f>Woche_44!T41</f>
        <v>1</v>
      </c>
      <c r="H30" s="29">
        <f>Woche_44!X41</f>
        <v>2.5</v>
      </c>
      <c r="I30" s="40">
        <f>Woche_44!AB41</f>
        <v>0</v>
      </c>
      <c r="J30" s="29">
        <f>Woche_45!D41</f>
        <v>1.5</v>
      </c>
      <c r="K30" s="29">
        <f>Woche_45!H41</f>
        <v>1.5</v>
      </c>
      <c r="L30" s="29">
        <f>Woche_45!L41</f>
        <v>7.5</v>
      </c>
      <c r="M30" s="29">
        <f>Woche_45!P41</f>
        <v>0.5</v>
      </c>
      <c r="N30" s="29">
        <f>Woche_45!T41</f>
        <v>1.5</v>
      </c>
      <c r="O30" s="29">
        <f>Woche_45!X41</f>
        <v>0</v>
      </c>
      <c r="P30" s="40">
        <f>Woche_45!AB41</f>
        <v>0</v>
      </c>
      <c r="R30" s="32" t="s">
        <v>97</v>
      </c>
    </row>
    <row r="31" spans="2:18" ht="15" thickBot="1" x14ac:dyDescent="0.4">
      <c r="B31" s="46" t="s">
        <v>28</v>
      </c>
      <c r="C31" s="50">
        <f>Woche_44!E41</f>
        <v>2.5</v>
      </c>
      <c r="D31" s="37">
        <f>Woche_44!H41</f>
        <v>2</v>
      </c>
      <c r="E31" s="37">
        <f>Woche_44!M41</f>
        <v>12.5</v>
      </c>
      <c r="F31" s="37">
        <f>Woche_44!Q41</f>
        <v>5.5</v>
      </c>
      <c r="G31" s="37">
        <f>Woche_44!U41</f>
        <v>7.5</v>
      </c>
      <c r="H31" s="37">
        <f>Woche_44!Y41</f>
        <v>10.5</v>
      </c>
      <c r="I31" s="41">
        <f>Woche_44!AC41</f>
        <v>0</v>
      </c>
      <c r="J31" s="37">
        <f>Woche_45!E41</f>
        <v>3</v>
      </c>
      <c r="K31" s="37">
        <f>Woche_45!I41</f>
        <v>0</v>
      </c>
      <c r="L31" s="37">
        <f>Woche_45!M41</f>
        <v>4.5</v>
      </c>
      <c r="M31" s="37">
        <f>Woche_45!Q41</f>
        <v>0</v>
      </c>
      <c r="N31" s="37">
        <f>Woche_45!U41</f>
        <v>5</v>
      </c>
      <c r="O31" s="37">
        <f>Woche_45!Y41</f>
        <v>6.5</v>
      </c>
      <c r="P31" s="41">
        <f>Woche_45!AC41</f>
        <v>0</v>
      </c>
      <c r="R31" s="32" t="s">
        <v>98</v>
      </c>
    </row>
    <row r="32" spans="2:18" ht="15" thickBot="1" x14ac:dyDescent="0.4">
      <c r="B32" s="42" t="s">
        <v>22</v>
      </c>
      <c r="C32" s="60" t="s">
        <v>15</v>
      </c>
      <c r="D32" s="61"/>
      <c r="E32" s="61"/>
      <c r="F32" s="61"/>
      <c r="G32" s="61"/>
      <c r="H32" s="61"/>
      <c r="I32" s="62"/>
      <c r="J32" s="60" t="s">
        <v>16</v>
      </c>
      <c r="K32" s="61"/>
      <c r="L32" s="61"/>
      <c r="M32" s="61"/>
      <c r="N32" s="61"/>
      <c r="O32" s="61"/>
      <c r="P32" s="62"/>
      <c r="Q32" s="7"/>
      <c r="R32" s="32" t="s">
        <v>99</v>
      </c>
    </row>
    <row r="33" spans="2:18" x14ac:dyDescent="0.35">
      <c r="B33" s="42" t="s">
        <v>24</v>
      </c>
      <c r="C33" s="16" t="s">
        <v>1</v>
      </c>
      <c r="D33" s="20" t="s">
        <v>2</v>
      </c>
      <c r="E33" s="20" t="s">
        <v>3</v>
      </c>
      <c r="F33" s="20" t="s">
        <v>4</v>
      </c>
      <c r="G33" s="20" t="s">
        <v>5</v>
      </c>
      <c r="H33" s="20" t="s">
        <v>6</v>
      </c>
      <c r="I33" s="49" t="s">
        <v>7</v>
      </c>
      <c r="J33" s="16" t="s">
        <v>1</v>
      </c>
      <c r="K33" s="20" t="s">
        <v>2</v>
      </c>
      <c r="L33" s="20" t="s">
        <v>3</v>
      </c>
      <c r="M33" s="20" t="s">
        <v>4</v>
      </c>
      <c r="N33" s="20" t="s">
        <v>5</v>
      </c>
      <c r="O33" s="20" t="s">
        <v>6</v>
      </c>
      <c r="P33" s="53" t="s">
        <v>7</v>
      </c>
      <c r="R33" s="33" t="s">
        <v>100</v>
      </c>
    </row>
    <row r="34" spans="2:18" ht="15" thickBot="1" x14ac:dyDescent="0.4">
      <c r="B34" s="43" t="s">
        <v>23</v>
      </c>
      <c r="C34" s="38">
        <v>42688</v>
      </c>
      <c r="D34" s="3">
        <v>42689</v>
      </c>
      <c r="E34" s="3">
        <v>42690</v>
      </c>
      <c r="F34" s="3">
        <v>42691</v>
      </c>
      <c r="G34" s="3">
        <v>42692</v>
      </c>
      <c r="H34" s="3">
        <v>42693</v>
      </c>
      <c r="I34" s="39">
        <v>42694</v>
      </c>
      <c r="J34" s="38">
        <v>42695</v>
      </c>
      <c r="K34" s="3">
        <v>42696</v>
      </c>
      <c r="L34" s="3">
        <v>42697</v>
      </c>
      <c r="M34" s="3">
        <v>42698</v>
      </c>
      <c r="N34" s="3">
        <v>42699</v>
      </c>
      <c r="O34" s="3">
        <v>42700</v>
      </c>
      <c r="P34" s="39">
        <v>42701</v>
      </c>
      <c r="R34" s="32" t="s">
        <v>101</v>
      </c>
    </row>
    <row r="35" spans="2:18" ht="15" thickBot="1" x14ac:dyDescent="0.4">
      <c r="B35" s="44" t="s">
        <v>25</v>
      </c>
      <c r="C35" s="29">
        <f>Woche_46!B41</f>
        <v>5</v>
      </c>
      <c r="D35" s="29">
        <f>Woche_46!F41</f>
        <v>3</v>
      </c>
      <c r="E35" s="29">
        <f>Woche_46!J41</f>
        <v>8</v>
      </c>
      <c r="F35" s="29">
        <f>Woche_46!N41</f>
        <v>3</v>
      </c>
      <c r="G35" s="29">
        <f>Woche_46!R41</f>
        <v>0</v>
      </c>
      <c r="H35" s="29">
        <f>Woche_46!V41</f>
        <v>2.5</v>
      </c>
      <c r="I35" s="40">
        <f>Woche_46!Z41</f>
        <v>0</v>
      </c>
      <c r="J35" s="29">
        <f>Woche_47!B41</f>
        <v>5</v>
      </c>
      <c r="K35" s="29">
        <f>Woche_47!F41</f>
        <v>3</v>
      </c>
      <c r="L35" s="29">
        <f>Woche_47!J41</f>
        <v>8</v>
      </c>
      <c r="M35" s="29">
        <f>Woche_47!N41</f>
        <v>3</v>
      </c>
      <c r="N35" s="29">
        <f>Woche_47!R41</f>
        <v>0</v>
      </c>
      <c r="O35" s="29">
        <f>Woche_47!V41</f>
        <v>2.5</v>
      </c>
      <c r="P35" s="40">
        <f>Woche_47!Z41</f>
        <v>0</v>
      </c>
      <c r="R35" s="32" t="s">
        <v>102</v>
      </c>
    </row>
    <row r="36" spans="2:18" ht="15" thickBot="1" x14ac:dyDescent="0.4">
      <c r="B36" s="44" t="s">
        <v>26</v>
      </c>
      <c r="C36" s="29">
        <f>Woche_46!C41</f>
        <v>6</v>
      </c>
      <c r="D36" s="29">
        <f>Woche_46!G41</f>
        <v>3.5</v>
      </c>
      <c r="E36" s="29">
        <f>Woche_46!K41</f>
        <v>10</v>
      </c>
      <c r="F36" s="29">
        <f>Woche_46!O41</f>
        <v>3.5</v>
      </c>
      <c r="G36" s="29">
        <f>Woche_46!S41</f>
        <v>1.5</v>
      </c>
      <c r="H36" s="29">
        <f>Woche_46!W41</f>
        <v>4.5</v>
      </c>
      <c r="I36" s="40">
        <f>Woche_46!AA41</f>
        <v>0</v>
      </c>
      <c r="J36" s="29">
        <f>Woche_47!C41</f>
        <v>6</v>
      </c>
      <c r="K36" s="29">
        <f>Woche_47!G41</f>
        <v>3.5</v>
      </c>
      <c r="L36" s="29">
        <f>Woche_47!K41</f>
        <v>10</v>
      </c>
      <c r="M36" s="29">
        <f>Woche_47!O41</f>
        <v>3.5</v>
      </c>
      <c r="N36" s="29">
        <f>Woche_47!S41</f>
        <v>1.5</v>
      </c>
      <c r="O36" s="29">
        <f>Woche_47!W41</f>
        <v>4.5</v>
      </c>
      <c r="P36" s="40">
        <f>Woche_47!AA41</f>
        <v>0</v>
      </c>
      <c r="R36" s="32" t="s">
        <v>103</v>
      </c>
    </row>
    <row r="37" spans="2:18" ht="15" thickBot="1" x14ac:dyDescent="0.4">
      <c r="B37" s="44" t="s">
        <v>27</v>
      </c>
      <c r="C37" s="29">
        <f>Woche_46!D41</f>
        <v>0</v>
      </c>
      <c r="D37" s="29">
        <f>Woche_46!H41</f>
        <v>1.5</v>
      </c>
      <c r="E37" s="29">
        <f>Woche_46!L41</f>
        <v>6.5</v>
      </c>
      <c r="F37" s="29">
        <f>Woche_46!P41</f>
        <v>0</v>
      </c>
      <c r="G37" s="29">
        <f>Woche_46!T41</f>
        <v>0</v>
      </c>
      <c r="H37" s="29">
        <f>Woche_46!X41</f>
        <v>0</v>
      </c>
      <c r="I37" s="40">
        <f>Woche_46!AB41</f>
        <v>0</v>
      </c>
      <c r="J37" s="29">
        <f>Woche_47!D41</f>
        <v>1</v>
      </c>
      <c r="K37" s="29">
        <f>Woche_47!H41</f>
        <v>2</v>
      </c>
      <c r="L37" s="29">
        <f>Woche_47!L41</f>
        <v>6</v>
      </c>
      <c r="M37" s="29">
        <f>Woche_47!P41</f>
        <v>1</v>
      </c>
      <c r="N37" s="29">
        <f>Woche_47!T41</f>
        <v>1</v>
      </c>
      <c r="O37" s="29">
        <f>Woche_47!X41</f>
        <v>0</v>
      </c>
      <c r="P37" s="40">
        <f>Woche_47!AB41</f>
        <v>0</v>
      </c>
      <c r="R37" s="32" t="s">
        <v>98</v>
      </c>
    </row>
    <row r="38" spans="2:18" ht="15" thickBot="1" x14ac:dyDescent="0.4">
      <c r="B38" s="46" t="s">
        <v>28</v>
      </c>
      <c r="C38" s="50">
        <f>Woche_46!E46</f>
        <v>0</v>
      </c>
      <c r="D38" s="37">
        <f>Woche_46!I41</f>
        <v>3.5</v>
      </c>
      <c r="E38" s="37">
        <f>Woche_46!M41</f>
        <v>10</v>
      </c>
      <c r="F38" s="37">
        <f>Woche_46!Q41</f>
        <v>0</v>
      </c>
      <c r="G38" s="37">
        <f>Woche_46!U41</f>
        <v>3</v>
      </c>
      <c r="H38" s="37">
        <f>Woche_46!Y41</f>
        <v>4</v>
      </c>
      <c r="I38" s="41">
        <f>Woche_46!AC41</f>
        <v>2.5</v>
      </c>
      <c r="J38" s="37">
        <f>Woche_47!E41</f>
        <v>2.5</v>
      </c>
      <c r="K38" s="37">
        <f>Woche_47!I41</f>
        <v>4</v>
      </c>
      <c r="L38" s="37">
        <f>Woche_47!M41</f>
        <v>10</v>
      </c>
      <c r="M38" s="37">
        <f>Woche_47!Q41</f>
        <v>0</v>
      </c>
      <c r="N38" s="37">
        <f>Woche_47!U41</f>
        <v>2.5</v>
      </c>
      <c r="O38" s="37">
        <f>Woche_47!Y41</f>
        <v>4</v>
      </c>
      <c r="P38" s="41">
        <f>Woche_47!AC41</f>
        <v>0</v>
      </c>
      <c r="R38" s="32" t="s">
        <v>99</v>
      </c>
    </row>
    <row r="39" spans="2:18" ht="15" thickBot="1" x14ac:dyDescent="0.4">
      <c r="B39" s="8" t="s">
        <v>22</v>
      </c>
      <c r="C39" s="63" t="s">
        <v>17</v>
      </c>
      <c r="D39" s="63"/>
      <c r="E39" s="63"/>
      <c r="F39" s="63"/>
      <c r="G39" s="63"/>
      <c r="H39" s="63"/>
      <c r="I39" s="64"/>
      <c r="J39" s="60" t="s">
        <v>18</v>
      </c>
      <c r="K39" s="61"/>
      <c r="L39" s="61"/>
      <c r="M39" s="61"/>
      <c r="N39" s="61"/>
      <c r="O39" s="61"/>
      <c r="P39" s="62"/>
      <c r="Q39" s="7"/>
      <c r="R39" s="33" t="s">
        <v>104</v>
      </c>
    </row>
    <row r="40" spans="2:18" x14ac:dyDescent="0.35">
      <c r="B40" s="42" t="s">
        <v>24</v>
      </c>
      <c r="C40" s="51" t="s">
        <v>1</v>
      </c>
      <c r="D40" s="52" t="s">
        <v>2</v>
      </c>
      <c r="E40" s="52" t="s">
        <v>3</v>
      </c>
      <c r="F40" s="52" t="s">
        <v>4</v>
      </c>
      <c r="G40" s="52" t="s">
        <v>5</v>
      </c>
      <c r="H40" s="52" t="s">
        <v>6</v>
      </c>
      <c r="I40" s="53" t="s">
        <v>7</v>
      </c>
      <c r="J40" s="16" t="s">
        <v>1</v>
      </c>
      <c r="K40" s="20" t="s">
        <v>2</v>
      </c>
      <c r="L40" s="20" t="s">
        <v>3</v>
      </c>
      <c r="M40" s="20" t="s">
        <v>4</v>
      </c>
      <c r="N40" s="20" t="s">
        <v>5</v>
      </c>
      <c r="O40" s="20" t="s">
        <v>6</v>
      </c>
      <c r="P40" s="53" t="s">
        <v>7</v>
      </c>
      <c r="R40" s="32" t="s">
        <v>101</v>
      </c>
    </row>
    <row r="41" spans="2:18" ht="15" thickBot="1" x14ac:dyDescent="0.4">
      <c r="B41" s="43" t="s">
        <v>23</v>
      </c>
      <c r="C41" s="38">
        <v>42702</v>
      </c>
      <c r="D41" s="3">
        <v>42703</v>
      </c>
      <c r="E41" s="3">
        <v>42704</v>
      </c>
      <c r="F41" s="3">
        <v>42705</v>
      </c>
      <c r="G41" s="3">
        <v>42706</v>
      </c>
      <c r="H41" s="3">
        <v>42707</v>
      </c>
      <c r="I41" s="39">
        <v>42708</v>
      </c>
      <c r="J41" s="38">
        <v>42709</v>
      </c>
      <c r="K41" s="3">
        <v>42710</v>
      </c>
      <c r="L41" s="3">
        <v>42711</v>
      </c>
      <c r="M41" s="3">
        <v>42712</v>
      </c>
      <c r="N41" s="3">
        <v>42713</v>
      </c>
      <c r="O41" s="3">
        <v>42714</v>
      </c>
      <c r="P41" s="39">
        <v>42715</v>
      </c>
      <c r="R41" s="32" t="s">
        <v>102</v>
      </c>
    </row>
    <row r="42" spans="2:18" ht="15" thickBot="1" x14ac:dyDescent="0.4">
      <c r="B42" s="47" t="s">
        <v>25</v>
      </c>
      <c r="C42" s="29">
        <f>Woche_48!B41</f>
        <v>5</v>
      </c>
      <c r="D42" s="29">
        <f>Woche_48!F41</f>
        <v>3</v>
      </c>
      <c r="E42" s="29">
        <f>Woche_48!J41</f>
        <v>8</v>
      </c>
      <c r="F42" s="29">
        <f>Woche_48!N41</f>
        <v>3</v>
      </c>
      <c r="G42" s="29">
        <f>Woche_48!R41</f>
        <v>0</v>
      </c>
      <c r="H42" s="29">
        <f>Woche_48!V41</f>
        <v>2.5</v>
      </c>
      <c r="I42" s="40">
        <f>Woche_48!Z41</f>
        <v>0</v>
      </c>
      <c r="J42" s="29">
        <f>Woche_49!B41</f>
        <v>5</v>
      </c>
      <c r="K42" s="29">
        <f>Woche_49!F41</f>
        <v>0</v>
      </c>
      <c r="L42" s="29">
        <f>Woche_49!J41</f>
        <v>8</v>
      </c>
      <c r="M42" s="29">
        <f>Woche_49!N41</f>
        <v>3</v>
      </c>
      <c r="N42" s="29">
        <f>Woche_49!R41</f>
        <v>0</v>
      </c>
      <c r="O42" s="29">
        <f>Woche_49!V41</f>
        <v>2.5</v>
      </c>
      <c r="P42" s="40">
        <f>Woche_49!Z41</f>
        <v>0</v>
      </c>
      <c r="R42" s="32" t="s">
        <v>101</v>
      </c>
    </row>
    <row r="43" spans="2:18" ht="15" thickBot="1" x14ac:dyDescent="0.4">
      <c r="B43" s="44" t="s">
        <v>26</v>
      </c>
      <c r="C43" s="29">
        <f>Woche_48!C41</f>
        <v>6</v>
      </c>
      <c r="D43" s="29">
        <f>Woche_48!G42</f>
        <v>0</v>
      </c>
      <c r="E43" s="29">
        <f>Woche_48!K41</f>
        <v>10</v>
      </c>
      <c r="F43" s="29">
        <f>Woche_48!O41</f>
        <v>3.5</v>
      </c>
      <c r="G43" s="29">
        <f>Woche_48!S41</f>
        <v>1.5</v>
      </c>
      <c r="H43" s="29">
        <f>Woche_48!W41</f>
        <v>4.5</v>
      </c>
      <c r="I43" s="40">
        <f>Woche_48!AA41</f>
        <v>0</v>
      </c>
      <c r="J43" s="29">
        <f>Woche_49!C41</f>
        <v>6</v>
      </c>
      <c r="K43" s="29">
        <f>Woche_49!G41</f>
        <v>3.5</v>
      </c>
      <c r="L43" s="29">
        <f>Woche_49!K41</f>
        <v>10</v>
      </c>
      <c r="M43" s="29">
        <f>Woche_49!O41</f>
        <v>3.5</v>
      </c>
      <c r="N43" s="29">
        <f>Woche_49!S41</f>
        <v>1.5</v>
      </c>
      <c r="O43" s="29">
        <f>Woche_49!W41</f>
        <v>4.5</v>
      </c>
      <c r="P43" s="40">
        <f>Woche_49!AA41</f>
        <v>0</v>
      </c>
      <c r="R43" s="33" t="s">
        <v>105</v>
      </c>
    </row>
    <row r="44" spans="2:18" ht="15" thickBot="1" x14ac:dyDescent="0.4">
      <c r="B44" s="45" t="s">
        <v>27</v>
      </c>
      <c r="C44" s="29">
        <f>Woche_48!D41</f>
        <v>0</v>
      </c>
      <c r="D44" s="29">
        <f>Woche_48!H41</f>
        <v>1.5</v>
      </c>
      <c r="E44" s="29">
        <f>Woche_48!L41</f>
        <v>5</v>
      </c>
      <c r="F44" s="29">
        <f>Woche_48!P41</f>
        <v>1</v>
      </c>
      <c r="G44" s="29">
        <f>Woche_42!T418</f>
        <v>0</v>
      </c>
      <c r="H44" s="29">
        <f>Woche_48!X41</f>
        <v>0</v>
      </c>
      <c r="I44" s="40">
        <f>Woche_48!AB41</f>
        <v>0</v>
      </c>
      <c r="J44" s="29">
        <f>Woche_49!D41</f>
        <v>1</v>
      </c>
      <c r="K44" s="29">
        <f>Woche_49!H41</f>
        <v>1.5</v>
      </c>
      <c r="L44" s="29">
        <f>Woche_49!L41</f>
        <v>4.5</v>
      </c>
      <c r="M44" s="29">
        <f>Woche_49!P41</f>
        <v>0</v>
      </c>
      <c r="N44" s="29">
        <f>Woche_49!T41</f>
        <v>0</v>
      </c>
      <c r="O44" s="29">
        <f>Woche_49!X41</f>
        <v>0</v>
      </c>
      <c r="P44" s="40">
        <f>Woche_49!AB41</f>
        <v>0</v>
      </c>
      <c r="R44" s="32" t="s">
        <v>106</v>
      </c>
    </row>
    <row r="45" spans="2:18" ht="15" thickBot="1" x14ac:dyDescent="0.4">
      <c r="B45" s="44" t="s">
        <v>28</v>
      </c>
      <c r="C45" s="29">
        <f>Woche_48!E41</f>
        <v>2.5</v>
      </c>
      <c r="D45" s="29">
        <f>Woche_42!I62</f>
        <v>0</v>
      </c>
      <c r="E45" s="29">
        <f>Woche_48!M41</f>
        <v>9.5</v>
      </c>
      <c r="F45" s="29">
        <f>Woche_48!Q41</f>
        <v>0</v>
      </c>
      <c r="G45" s="29">
        <f>Woche_48!U41</f>
        <v>3</v>
      </c>
      <c r="H45" s="29">
        <f>Woche_48!Y41</f>
        <v>0</v>
      </c>
      <c r="I45" s="41">
        <f>Woche_48!AC41</f>
        <v>0</v>
      </c>
      <c r="J45" s="29">
        <f>Woche_48!E41</f>
        <v>2.5</v>
      </c>
      <c r="K45" s="29">
        <f>Woche_49!I41</f>
        <v>4</v>
      </c>
      <c r="L45" s="29">
        <f>Woche_49!M41</f>
        <v>10</v>
      </c>
      <c r="M45" s="29">
        <f>Woche_49!Q41</f>
        <v>0</v>
      </c>
      <c r="N45" s="29">
        <f>Woche_49!U41</f>
        <v>3</v>
      </c>
      <c r="O45" s="29">
        <f>Woche_49!Y41</f>
        <v>4.5</v>
      </c>
      <c r="P45" s="41">
        <f>Woche_49!AC41</f>
        <v>0</v>
      </c>
    </row>
    <row r="46" spans="2:18" ht="15" thickBot="1" x14ac:dyDescent="0.4">
      <c r="B46" s="42" t="s">
        <v>22</v>
      </c>
      <c r="C46" s="60" t="s">
        <v>19</v>
      </c>
      <c r="D46" s="61"/>
      <c r="E46" s="61"/>
      <c r="F46" s="61"/>
      <c r="G46" s="61"/>
      <c r="H46" s="61"/>
      <c r="I46" s="62"/>
      <c r="J46" s="60" t="s">
        <v>20</v>
      </c>
      <c r="K46" s="61"/>
      <c r="L46" s="61"/>
      <c r="M46" s="61"/>
      <c r="N46" s="61"/>
      <c r="O46" s="61"/>
      <c r="P46" s="62"/>
    </row>
    <row r="47" spans="2:18" x14ac:dyDescent="0.35">
      <c r="B47" s="42" t="s">
        <v>24</v>
      </c>
      <c r="C47" s="16" t="s">
        <v>1</v>
      </c>
      <c r="D47" s="20" t="s">
        <v>2</v>
      </c>
      <c r="E47" s="20" t="s">
        <v>3</v>
      </c>
      <c r="F47" s="20" t="s">
        <v>4</v>
      </c>
      <c r="G47" s="20" t="s">
        <v>5</v>
      </c>
      <c r="H47" s="20" t="s">
        <v>6</v>
      </c>
      <c r="I47" s="49" t="s">
        <v>7</v>
      </c>
      <c r="J47" s="16" t="s">
        <v>1</v>
      </c>
      <c r="K47" s="20" t="s">
        <v>2</v>
      </c>
      <c r="L47" s="20" t="s">
        <v>3</v>
      </c>
      <c r="M47" s="20" t="s">
        <v>4</v>
      </c>
      <c r="N47" s="20" t="s">
        <v>5</v>
      </c>
      <c r="O47" s="20" t="s">
        <v>6</v>
      </c>
      <c r="P47" s="53" t="s">
        <v>7</v>
      </c>
    </row>
    <row r="48" spans="2:18" ht="15" thickBot="1" x14ac:dyDescent="0.4">
      <c r="B48" s="43" t="s">
        <v>23</v>
      </c>
      <c r="C48" s="38">
        <v>42716</v>
      </c>
      <c r="D48" s="3">
        <v>42717</v>
      </c>
      <c r="E48" s="3">
        <v>42718</v>
      </c>
      <c r="F48" s="3">
        <v>42719</v>
      </c>
      <c r="G48" s="3">
        <v>42720</v>
      </c>
      <c r="H48" s="3">
        <v>42721</v>
      </c>
      <c r="I48" s="39">
        <v>42722</v>
      </c>
      <c r="J48" s="38">
        <v>42723</v>
      </c>
      <c r="K48" s="3">
        <v>42724</v>
      </c>
      <c r="L48" s="3">
        <v>42725</v>
      </c>
      <c r="M48" s="3">
        <v>42726</v>
      </c>
      <c r="N48" s="3">
        <v>42727</v>
      </c>
      <c r="O48" s="3">
        <v>42728</v>
      </c>
      <c r="P48" s="39">
        <v>42729</v>
      </c>
    </row>
    <row r="49" spans="2:16" ht="15" thickBot="1" x14ac:dyDescent="0.4">
      <c r="B49" s="44" t="s">
        <v>25</v>
      </c>
      <c r="C49" s="29">
        <f>Woche_50!B41</f>
        <v>5</v>
      </c>
      <c r="D49" s="29">
        <f>Woche_50!F41</f>
        <v>3</v>
      </c>
      <c r="E49" s="29">
        <f>Woche_50!J41</f>
        <v>8</v>
      </c>
      <c r="F49" s="29">
        <f>Woche_50!N41</f>
        <v>3</v>
      </c>
      <c r="G49" s="29">
        <f>Woche_50!R41</f>
        <v>0</v>
      </c>
      <c r="H49" s="29">
        <f>Woche_50!V41</f>
        <v>2.5</v>
      </c>
      <c r="I49" s="40">
        <f>Woche_50!Z41</f>
        <v>0</v>
      </c>
      <c r="J49" s="29">
        <f>Woche_51!B41</f>
        <v>5</v>
      </c>
      <c r="K49" s="29">
        <f>Woche_51!F41</f>
        <v>3</v>
      </c>
      <c r="L49" s="29">
        <f>Woche_51!J41</f>
        <v>8</v>
      </c>
      <c r="M49" s="29">
        <f>Woche_51!N41</f>
        <v>3</v>
      </c>
      <c r="N49" s="29">
        <f>Woche_51!R41</f>
        <v>0</v>
      </c>
      <c r="O49" s="29">
        <f>Woche_51!V41</f>
        <v>0</v>
      </c>
      <c r="P49" s="40">
        <f>Woche_51!Z41</f>
        <v>0</v>
      </c>
    </row>
    <row r="50" spans="2:16" ht="15" thickBot="1" x14ac:dyDescent="0.4">
      <c r="B50" s="44" t="s">
        <v>26</v>
      </c>
      <c r="C50" s="29">
        <f>Woche_50!C41</f>
        <v>6</v>
      </c>
      <c r="D50" s="29">
        <f>Woche_50!G41</f>
        <v>3.5</v>
      </c>
      <c r="E50" s="29">
        <f>Woche_50!K41</f>
        <v>10</v>
      </c>
      <c r="F50" s="29">
        <f>Woche_50!O41</f>
        <v>3.5</v>
      </c>
      <c r="G50" s="29">
        <f>Woche_50!S41</f>
        <v>1.5</v>
      </c>
      <c r="H50" s="29">
        <f>Woche_50!W41</f>
        <v>4.5</v>
      </c>
      <c r="I50" s="40">
        <f>Woche_50!AA41</f>
        <v>0</v>
      </c>
      <c r="J50" s="29">
        <f>Woche_51!C41</f>
        <v>6</v>
      </c>
      <c r="K50" s="29">
        <f>Woche_51!G41</f>
        <v>3.5</v>
      </c>
      <c r="L50" s="29">
        <f>Woche_51!K41</f>
        <v>10</v>
      </c>
      <c r="M50" s="29">
        <f>Woche_51!O41</f>
        <v>3.5</v>
      </c>
      <c r="N50" s="29">
        <f>Woche_51!S41</f>
        <v>1.5</v>
      </c>
      <c r="O50" s="29">
        <f>Woche_51!W41</f>
        <v>4.5</v>
      </c>
      <c r="P50" s="40">
        <f>Woche_51!AA41</f>
        <v>0</v>
      </c>
    </row>
    <row r="51" spans="2:16" ht="15" thickBot="1" x14ac:dyDescent="0.4">
      <c r="B51" s="45" t="s">
        <v>27</v>
      </c>
      <c r="C51" s="29">
        <f>Woche_50!D41</f>
        <v>0</v>
      </c>
      <c r="D51" s="29">
        <f>Woche_50!H41</f>
        <v>0</v>
      </c>
      <c r="E51" s="29">
        <f>Woche_50!L41</f>
        <v>4.5</v>
      </c>
      <c r="F51" s="29">
        <f>Woche_50!P41</f>
        <v>0</v>
      </c>
      <c r="G51" s="29">
        <f>Woche_50!T41</f>
        <v>0</v>
      </c>
      <c r="H51" s="29">
        <f>Woche_50!X41</f>
        <v>0</v>
      </c>
      <c r="I51" s="40">
        <f>Woche_50!AB41</f>
        <v>0</v>
      </c>
      <c r="J51" s="29">
        <f>Woche_51!D41</f>
        <v>0</v>
      </c>
      <c r="K51" s="29">
        <f>Woche_51!H51</f>
        <v>0</v>
      </c>
      <c r="L51" s="29">
        <f>Woche_51!L41</f>
        <v>4.5</v>
      </c>
      <c r="M51" s="29">
        <f>Woche_51!P41</f>
        <v>0</v>
      </c>
      <c r="N51" s="29">
        <f>Woche_51!T41</f>
        <v>0</v>
      </c>
      <c r="O51" s="29">
        <f>Woche_51!X41</f>
        <v>0</v>
      </c>
      <c r="P51" s="40">
        <f>Woche_51!AB41</f>
        <v>0</v>
      </c>
    </row>
    <row r="52" spans="2:16" ht="15" thickBot="1" x14ac:dyDescent="0.4">
      <c r="B52" s="44" t="s">
        <v>28</v>
      </c>
      <c r="C52" s="29">
        <f>Woche_50!E41</f>
        <v>2.5</v>
      </c>
      <c r="D52" s="29">
        <f>Woche_50!I41</f>
        <v>4</v>
      </c>
      <c r="E52" s="29">
        <f>Woche_50!M41</f>
        <v>10</v>
      </c>
      <c r="F52" s="29">
        <f>Woche_50!Q41</f>
        <v>0</v>
      </c>
      <c r="G52" s="29">
        <f>Woche_50!U41</f>
        <v>3</v>
      </c>
      <c r="H52" s="29">
        <f>Woche_50!Y41</f>
        <v>4.5</v>
      </c>
      <c r="I52" s="41">
        <f>Woche_50!AC41</f>
        <v>0</v>
      </c>
      <c r="J52" s="29">
        <f>Woche_51!E41</f>
        <v>3</v>
      </c>
      <c r="K52" s="29">
        <f>Woche_51!I41</f>
        <v>4</v>
      </c>
      <c r="L52" s="29">
        <f>Woche_51!M41</f>
        <v>10</v>
      </c>
      <c r="M52" s="29">
        <f>Woche_51!Q41</f>
        <v>0</v>
      </c>
      <c r="N52" s="29">
        <f>Woche_51!U41</f>
        <v>3</v>
      </c>
      <c r="O52" s="29">
        <f>Woche_51!Y41</f>
        <v>0</v>
      </c>
      <c r="P52" s="41">
        <f>Woche_51!AC41</f>
        <v>0</v>
      </c>
    </row>
    <row r="53" spans="2:16" ht="15" thickBot="1" x14ac:dyDescent="0.4">
      <c r="B53" s="42" t="s">
        <v>22</v>
      </c>
      <c r="C53" s="60" t="s">
        <v>21</v>
      </c>
      <c r="D53" s="61"/>
      <c r="E53" s="61"/>
      <c r="F53" s="61"/>
      <c r="G53" s="61"/>
      <c r="H53" s="61"/>
      <c r="I53" s="62"/>
      <c r="J53" s="60" t="s">
        <v>29</v>
      </c>
      <c r="K53" s="61"/>
      <c r="L53" s="61"/>
      <c r="M53" s="61"/>
      <c r="N53" s="61"/>
      <c r="O53" s="61"/>
      <c r="P53" s="62"/>
    </row>
    <row r="54" spans="2:16" x14ac:dyDescent="0.35">
      <c r="B54" s="42" t="s">
        <v>24</v>
      </c>
      <c r="C54" s="16" t="s">
        <v>1</v>
      </c>
      <c r="D54" s="20" t="s">
        <v>2</v>
      </c>
      <c r="E54" s="20" t="s">
        <v>3</v>
      </c>
      <c r="F54" s="20" t="s">
        <v>4</v>
      </c>
      <c r="G54" s="20" t="s">
        <v>5</v>
      </c>
      <c r="H54" s="20" t="s">
        <v>6</v>
      </c>
      <c r="I54" s="49" t="s">
        <v>7</v>
      </c>
      <c r="J54" s="16" t="s">
        <v>1</v>
      </c>
      <c r="K54" s="20" t="s">
        <v>2</v>
      </c>
      <c r="L54" s="20" t="s">
        <v>3</v>
      </c>
      <c r="M54" s="20" t="s">
        <v>4</v>
      </c>
      <c r="N54" s="20" t="s">
        <v>5</v>
      </c>
      <c r="O54" s="20" t="s">
        <v>6</v>
      </c>
      <c r="P54" s="53" t="s">
        <v>7</v>
      </c>
    </row>
    <row r="55" spans="2:16" ht="15" thickBot="1" x14ac:dyDescent="0.4">
      <c r="B55" s="48" t="s">
        <v>23</v>
      </c>
      <c r="C55" s="38">
        <v>42730</v>
      </c>
      <c r="D55" s="3">
        <v>42731</v>
      </c>
      <c r="E55" s="3">
        <v>42732</v>
      </c>
      <c r="F55" s="3">
        <v>42733</v>
      </c>
      <c r="G55" s="3">
        <v>42734</v>
      </c>
      <c r="H55" s="3">
        <v>42735</v>
      </c>
      <c r="I55" s="39">
        <v>42736</v>
      </c>
      <c r="J55" s="38">
        <v>42737</v>
      </c>
      <c r="K55" s="3">
        <v>42738</v>
      </c>
      <c r="L55" s="3">
        <v>42739</v>
      </c>
      <c r="M55" s="3">
        <v>42740</v>
      </c>
      <c r="N55" s="3">
        <v>42741</v>
      </c>
      <c r="O55" s="3">
        <v>42742</v>
      </c>
      <c r="P55" s="39">
        <v>42743</v>
      </c>
    </row>
    <row r="56" spans="2:16" ht="15" thickBot="1" x14ac:dyDescent="0.4">
      <c r="B56" s="44" t="s">
        <v>25</v>
      </c>
      <c r="C56" s="29">
        <f>Woche_52!B41</f>
        <v>5</v>
      </c>
      <c r="D56" s="29">
        <f>Woche_52!F41</f>
        <v>5</v>
      </c>
      <c r="E56" s="29">
        <f>Woche_52!J41</f>
        <v>5</v>
      </c>
      <c r="F56" s="29">
        <f>Woche_52!N41</f>
        <v>5</v>
      </c>
      <c r="G56" s="29">
        <f>Woche_52!R41</f>
        <v>5</v>
      </c>
      <c r="H56" s="29">
        <f>Woche_52!V41</f>
        <v>2.5</v>
      </c>
      <c r="I56" s="40">
        <f>Woche_52!Z41</f>
        <v>0</v>
      </c>
      <c r="J56" s="29">
        <f>Woche_1!B41</f>
        <v>5</v>
      </c>
      <c r="K56" s="29">
        <f>Woche_1!E41</f>
        <v>0</v>
      </c>
      <c r="L56" s="29">
        <f>Woche_1!J41</f>
        <v>5</v>
      </c>
      <c r="M56" s="29">
        <f>Woche_1!N41</f>
        <v>5</v>
      </c>
      <c r="N56" s="29">
        <f>Woche_1!R41</f>
        <v>5</v>
      </c>
      <c r="O56" s="29">
        <f>Woche_1!V41</f>
        <v>2.5</v>
      </c>
      <c r="P56" s="40">
        <f>Woche_1!Z41</f>
        <v>0</v>
      </c>
    </row>
    <row r="57" spans="2:16" ht="15" thickBot="1" x14ac:dyDescent="0.4">
      <c r="B57" s="45" t="s">
        <v>26</v>
      </c>
      <c r="C57" s="29">
        <f>Woche_52!C41</f>
        <v>6</v>
      </c>
      <c r="D57" s="29">
        <f>Woche_52!G41</f>
        <v>3.5</v>
      </c>
      <c r="E57" s="29">
        <f>Woche_52!K41</f>
        <v>5.5</v>
      </c>
      <c r="F57" s="29">
        <f>Woche_52!O41</f>
        <v>3.5</v>
      </c>
      <c r="G57" s="29">
        <f>Woche_52!S41</f>
        <v>1.5</v>
      </c>
      <c r="H57" s="29">
        <f>Woche_52!W41</f>
        <v>4.5</v>
      </c>
      <c r="I57" s="40">
        <f>Woche_52!AA41</f>
        <v>0</v>
      </c>
      <c r="J57" s="29">
        <f>Woche_1!C41</f>
        <v>6</v>
      </c>
      <c r="K57" s="29">
        <f>Woche_1!F41</f>
        <v>5</v>
      </c>
      <c r="L57" s="29">
        <f>Woche_1!K41</f>
        <v>5.5</v>
      </c>
      <c r="M57" s="29">
        <f>Woche_1!O41</f>
        <v>3.5</v>
      </c>
      <c r="N57" s="29">
        <f>Woche_1!S41</f>
        <v>1.5</v>
      </c>
      <c r="O57" s="29">
        <f>Woche_1!W41</f>
        <v>4.5</v>
      </c>
      <c r="P57" s="40">
        <f>Woche_1!AA41</f>
        <v>0</v>
      </c>
    </row>
    <row r="58" spans="2:16" ht="15" thickBot="1" x14ac:dyDescent="0.4">
      <c r="B58" s="44" t="s">
        <v>27</v>
      </c>
      <c r="C58" s="29">
        <f>Woche_52!D41</f>
        <v>5</v>
      </c>
      <c r="D58" s="29">
        <f>Woche_52!H41</f>
        <v>5</v>
      </c>
      <c r="E58" s="29">
        <f>Woche_52!L41</f>
        <v>5</v>
      </c>
      <c r="F58" s="29">
        <f>Woche_52!P41</f>
        <v>5</v>
      </c>
      <c r="G58" s="29">
        <f>Woche_52!T41</f>
        <v>5</v>
      </c>
      <c r="H58" s="29">
        <f>Woche_52!X41</f>
        <v>0</v>
      </c>
      <c r="I58" s="40">
        <f>Woche_52!AB41</f>
        <v>0</v>
      </c>
      <c r="J58" s="29">
        <f>Woche_1!D41</f>
        <v>5</v>
      </c>
      <c r="K58" s="29">
        <f>Woche_1!G41</f>
        <v>3.5</v>
      </c>
      <c r="L58" s="29">
        <f>Woche_1!L41</f>
        <v>5</v>
      </c>
      <c r="M58" s="29">
        <f>Woche_1!P41</f>
        <v>5</v>
      </c>
      <c r="N58" s="29">
        <f>Woche_1!T41</f>
        <v>5</v>
      </c>
      <c r="O58" s="29">
        <f>Woche_1!X41</f>
        <v>0</v>
      </c>
      <c r="P58" s="40">
        <f>Woche_1!AB41</f>
        <v>0</v>
      </c>
    </row>
    <row r="59" spans="2:16" ht="15" thickBot="1" x14ac:dyDescent="0.4">
      <c r="B59" s="44" t="s">
        <v>28</v>
      </c>
      <c r="C59" s="29">
        <f>Woche_52!E41</f>
        <v>0</v>
      </c>
      <c r="D59" s="29">
        <f>Woche_52!I41</f>
        <v>13</v>
      </c>
      <c r="E59" s="29">
        <f>Woche_52!M41</f>
        <v>12.5</v>
      </c>
      <c r="F59" s="29">
        <f>Woche_52!Q41</f>
        <v>0</v>
      </c>
      <c r="G59" s="29">
        <f>Woche_52!U41</f>
        <v>0</v>
      </c>
      <c r="H59" s="29">
        <f>Woche_52!Y41</f>
        <v>0</v>
      </c>
      <c r="I59" s="41">
        <f>Woche_52!AC41</f>
        <v>0</v>
      </c>
      <c r="J59" s="29">
        <f>Woche_1!D76</f>
        <v>0</v>
      </c>
      <c r="K59" s="29">
        <f>Woche_1!H41</f>
        <v>5</v>
      </c>
      <c r="L59" s="29">
        <f>Woche_1!M41</f>
        <v>10.5</v>
      </c>
      <c r="M59" s="29">
        <f>Woche_1!Q41</f>
        <v>0</v>
      </c>
      <c r="N59" s="29">
        <f>Woche_1!U41</f>
        <v>0</v>
      </c>
      <c r="O59" s="29">
        <f>Woche_1!Y41</f>
        <v>0</v>
      </c>
      <c r="P59" s="41">
        <f>Woche_1!AC41</f>
        <v>0</v>
      </c>
    </row>
    <row r="60" spans="2:16" ht="15" thickBot="1" x14ac:dyDescent="0.4">
      <c r="B60" s="8" t="s">
        <v>22</v>
      </c>
      <c r="C60" s="60" t="s">
        <v>31</v>
      </c>
      <c r="D60" s="61"/>
      <c r="E60" s="61"/>
      <c r="F60" s="61"/>
      <c r="G60" s="61"/>
      <c r="H60" s="61"/>
      <c r="I60" s="62"/>
      <c r="J60" s="60" t="s">
        <v>30</v>
      </c>
      <c r="K60" s="61"/>
      <c r="L60" s="61"/>
      <c r="M60" s="61"/>
      <c r="N60" s="61"/>
      <c r="O60" s="61"/>
      <c r="P60" s="62"/>
    </row>
    <row r="61" spans="2:16" x14ac:dyDescent="0.35">
      <c r="B61" s="42" t="s">
        <v>24</v>
      </c>
      <c r="C61" s="16" t="s">
        <v>1</v>
      </c>
      <c r="D61" s="20" t="s">
        <v>2</v>
      </c>
      <c r="E61" s="20" t="s">
        <v>3</v>
      </c>
      <c r="F61" s="20" t="s">
        <v>4</v>
      </c>
      <c r="G61" s="20" t="s">
        <v>5</v>
      </c>
      <c r="H61" s="20" t="s">
        <v>6</v>
      </c>
      <c r="I61" s="49" t="s">
        <v>7</v>
      </c>
      <c r="J61" s="16" t="s">
        <v>1</v>
      </c>
      <c r="K61" s="20" t="s">
        <v>2</v>
      </c>
      <c r="L61" s="20" t="s">
        <v>3</v>
      </c>
      <c r="M61" s="20" t="s">
        <v>4</v>
      </c>
      <c r="N61" s="20" t="s">
        <v>5</v>
      </c>
      <c r="O61" s="20" t="s">
        <v>6</v>
      </c>
      <c r="P61" s="53" t="s">
        <v>7</v>
      </c>
    </row>
    <row r="62" spans="2:16" ht="15" thickBot="1" x14ac:dyDescent="0.4">
      <c r="B62" s="43" t="s">
        <v>23</v>
      </c>
      <c r="C62" s="38">
        <v>42744</v>
      </c>
      <c r="D62" s="3">
        <v>42745</v>
      </c>
      <c r="E62" s="3">
        <v>42746</v>
      </c>
      <c r="F62" s="3">
        <v>42747</v>
      </c>
      <c r="G62" s="3">
        <v>42748</v>
      </c>
      <c r="H62" s="3">
        <v>42749</v>
      </c>
      <c r="I62" s="39">
        <v>42750</v>
      </c>
      <c r="J62" s="38">
        <v>42751</v>
      </c>
      <c r="K62" s="3">
        <v>42752</v>
      </c>
      <c r="L62" s="3">
        <v>42753</v>
      </c>
      <c r="M62" s="3">
        <v>42754</v>
      </c>
      <c r="N62" s="3">
        <v>42755</v>
      </c>
      <c r="O62" s="3">
        <v>42756</v>
      </c>
      <c r="P62" s="39">
        <v>42757</v>
      </c>
    </row>
    <row r="63" spans="2:16" ht="15" thickBot="1" x14ac:dyDescent="0.4">
      <c r="B63" s="44" t="s">
        <v>25</v>
      </c>
      <c r="C63" s="29">
        <f>Woche_2!B41</f>
        <v>5</v>
      </c>
      <c r="D63" s="29">
        <f>Woche_2!F41</f>
        <v>3</v>
      </c>
      <c r="E63" s="29">
        <f>Woche_2!J41</f>
        <v>8</v>
      </c>
      <c r="F63" s="29">
        <f>Woche_2!N41</f>
        <v>3</v>
      </c>
      <c r="G63" s="29">
        <f>Woche_2!R41</f>
        <v>0</v>
      </c>
      <c r="H63" s="29">
        <f>Woche_2!V41</f>
        <v>2.5</v>
      </c>
      <c r="I63" s="40">
        <f>Woche_2!Z41</f>
        <v>0</v>
      </c>
      <c r="J63" s="29">
        <f>Woche_3!B41</f>
        <v>5</v>
      </c>
      <c r="K63" s="29">
        <f>Woche_3!F41</f>
        <v>3</v>
      </c>
      <c r="L63" s="29">
        <f>Woche_3!J41</f>
        <v>8</v>
      </c>
      <c r="M63" s="29">
        <f>Woche_3!N41</f>
        <v>3</v>
      </c>
      <c r="N63" s="29">
        <f>Woche_3!R41</f>
        <v>0</v>
      </c>
      <c r="O63" s="29">
        <f>Woche_3!V41</f>
        <v>0</v>
      </c>
      <c r="P63" s="40">
        <f>Woche_3!Z41</f>
        <v>0</v>
      </c>
    </row>
    <row r="64" spans="2:16" ht="15" thickBot="1" x14ac:dyDescent="0.4">
      <c r="B64" s="45" t="s">
        <v>26</v>
      </c>
      <c r="C64" s="29">
        <f>Woche_2!C41</f>
        <v>6</v>
      </c>
      <c r="D64" s="29">
        <f>Woche_2!G41</f>
        <v>3.5</v>
      </c>
      <c r="E64" s="29">
        <f>Woche_2!K41</f>
        <v>10</v>
      </c>
      <c r="F64" s="29">
        <f>Woche_2!O41</f>
        <v>3.5</v>
      </c>
      <c r="G64" s="29">
        <f>Woche_2!S41</f>
        <v>1.5</v>
      </c>
      <c r="H64" s="29">
        <f>Woche_2!W41</f>
        <v>4.5</v>
      </c>
      <c r="I64" s="40">
        <f>Woche_2!AA41</f>
        <v>0</v>
      </c>
      <c r="J64" s="29">
        <f>Woche_3!C41</f>
        <v>6</v>
      </c>
      <c r="K64" s="29">
        <f>Woche_3!G41</f>
        <v>3.5</v>
      </c>
      <c r="L64" s="29">
        <f>Woche_3!K41</f>
        <v>10</v>
      </c>
      <c r="M64" s="29">
        <f>Woche_3!O41</f>
        <v>3.5</v>
      </c>
      <c r="N64" s="29">
        <f>Woche_3!S41</f>
        <v>1.5</v>
      </c>
      <c r="O64" s="29">
        <f>Woche_3!W41</f>
        <v>4.5</v>
      </c>
      <c r="P64" s="40">
        <f>Woche_3!AA41</f>
        <v>0</v>
      </c>
    </row>
    <row r="65" spans="2:16" ht="15" thickBot="1" x14ac:dyDescent="0.4">
      <c r="B65" s="44" t="s">
        <v>27</v>
      </c>
      <c r="C65" s="29">
        <f>Woche_2!D41</f>
        <v>0</v>
      </c>
      <c r="D65" s="29">
        <f>Woche_2!H41</f>
        <v>2.5</v>
      </c>
      <c r="E65" s="29">
        <f>Woche_2!L41</f>
        <v>4.5</v>
      </c>
      <c r="F65" s="29">
        <f>Woche_2!P41</f>
        <v>0</v>
      </c>
      <c r="G65" s="29">
        <f>Woche_2!T41</f>
        <v>0</v>
      </c>
      <c r="H65" s="29">
        <f>Woche_2!X41</f>
        <v>0</v>
      </c>
      <c r="I65" s="40">
        <f>Woche_2!AB41</f>
        <v>0</v>
      </c>
      <c r="J65" s="29">
        <f>Woche_3!D41</f>
        <v>0</v>
      </c>
      <c r="K65" s="29">
        <f>Woche_3!H41</f>
        <v>0</v>
      </c>
      <c r="L65" s="29">
        <f>Woche_3!L41</f>
        <v>4.5</v>
      </c>
      <c r="M65" s="29">
        <f>Woche_3!P41</f>
        <v>0</v>
      </c>
      <c r="N65" s="29">
        <f>Woche_3!T41</f>
        <v>0</v>
      </c>
      <c r="O65" s="29">
        <f>Woche_3!X41</f>
        <v>0</v>
      </c>
      <c r="P65" s="40">
        <f>Woche_3!AB41</f>
        <v>0</v>
      </c>
    </row>
    <row r="66" spans="2:16" ht="15" thickBot="1" x14ac:dyDescent="0.4">
      <c r="B66" s="44" t="s">
        <v>28</v>
      </c>
      <c r="C66" s="50">
        <f>Woche_2!E41</f>
        <v>2.5</v>
      </c>
      <c r="D66" s="37">
        <f>Woche_2!I41</f>
        <v>4</v>
      </c>
      <c r="E66" s="37">
        <f>Woche_2!M41</f>
        <v>10</v>
      </c>
      <c r="F66" s="37">
        <f>Woche_2!Q41</f>
        <v>0</v>
      </c>
      <c r="G66" s="37">
        <f>Woche_2!U41</f>
        <v>3</v>
      </c>
      <c r="H66" s="37">
        <f>Woche_2!Y41</f>
        <v>4</v>
      </c>
      <c r="I66" s="41">
        <f>Woche_2!AC41</f>
        <v>0</v>
      </c>
      <c r="J66" s="37">
        <f>Woche_3!E41</f>
        <v>2.5</v>
      </c>
      <c r="K66" s="37">
        <f>Woche_3!I41</f>
        <v>4</v>
      </c>
      <c r="L66" s="37">
        <f>Woche_3!M41</f>
        <v>10</v>
      </c>
      <c r="M66" s="37">
        <f>Woche_3!Q41</f>
        <v>0</v>
      </c>
      <c r="N66" s="37">
        <f>Woche_3!U41</f>
        <v>3</v>
      </c>
      <c r="O66" s="37">
        <f>Woche_3!Y41</f>
        <v>5.5</v>
      </c>
      <c r="P66" s="41">
        <f>Woche_3!AC41</f>
        <v>0</v>
      </c>
    </row>
    <row r="68" spans="2:16" x14ac:dyDescent="0.35">
      <c r="B68" s="4" t="s">
        <v>32</v>
      </c>
      <c r="D68" t="s">
        <v>33</v>
      </c>
      <c r="F68" s="14"/>
      <c r="H68" t="s">
        <v>142</v>
      </c>
      <c r="J68" s="36"/>
      <c r="N68" s="35"/>
    </row>
    <row r="70" spans="2:16" x14ac:dyDescent="0.35">
      <c r="D70" t="s">
        <v>143</v>
      </c>
    </row>
    <row r="72" spans="2:16" x14ac:dyDescent="0.35">
      <c r="B72" s="4" t="s">
        <v>201</v>
      </c>
    </row>
    <row r="73" spans="2:16" x14ac:dyDescent="0.35">
      <c r="D73" t="s">
        <v>196</v>
      </c>
      <c r="F73" s="4">
        <f>SUM(Woche_38!G47+Woche_39!G47+Woche_40!G47+Woche_41!G47+Woche_42!G47+Woche_43!G47+Woche_44!G47+Woche_45!G47+Woche_46!G47+Woche_47!G47+Woche_48!G47+Woche_49!G47+Woche_50!G47+Woche_51!G47+Woche_52!G47+Woche_1!G47+Woche_2!G47)</f>
        <v>366</v>
      </c>
      <c r="G73" t="s">
        <v>200</v>
      </c>
    </row>
    <row r="74" spans="2:16" x14ac:dyDescent="0.35">
      <c r="D74" t="s">
        <v>197</v>
      </c>
      <c r="F74" s="4">
        <f>SUM(Woche_38!G48+Woche_39!G48+Woche_40!G48+Woche_41!G48+Woche_42!G48+Woche_43!G48+Woche_44!G48+Woche_45!G48+Woche_46!G48+Woche_47!G48+Woche_48!G48+Woche_49!G48+Woche_50!G48+Woche_51!G48+Woche_52!G48+Woche_1!G48+Woche_2!G48)</f>
        <v>378.5</v>
      </c>
      <c r="G74" t="s">
        <v>200</v>
      </c>
    </row>
    <row r="75" spans="2:16" x14ac:dyDescent="0.35">
      <c r="D75" t="s">
        <v>199</v>
      </c>
      <c r="F75" s="4">
        <f>SUM(Woche_38!G49+Woche_39!G49+Woche_40!G49+Woche_41!G49+Woche_42!G49+Woche_43!G49+Woche_44!G49+Woche_45!G49+Woche_46!G49+Woche_47!G49+Woche_48!G49+Woche_49!G49+Woche_50!G49+Woche_51!G49+Woche_52!G49+Woche_1!G49+Woche_2!G49)</f>
        <v>201.5</v>
      </c>
      <c r="G75" t="s">
        <v>200</v>
      </c>
    </row>
    <row r="76" spans="2:16" x14ac:dyDescent="0.35">
      <c r="D76" t="s">
        <v>198</v>
      </c>
      <c r="F76" s="4">
        <f>SUM(Woche_38!G50+Woche_39!G50+Woche_40!G50+Woche_41!G50+Woche_42!G50+Woche_43!G50+Woche_44!G50+Woche_45!G50+Woche_46!G50+Woche_47!G50+Woche_48!G50+Woche_49!G50+Woche_50!G50+Woche_51!G50+Woche_52!G50+Woche_1!G50+Woche_2!G50)</f>
        <v>349</v>
      </c>
      <c r="G76" t="s">
        <v>200</v>
      </c>
    </row>
  </sheetData>
  <dataConsolidate/>
  <mergeCells count="32">
    <mergeCell ref="AK4:AQ4"/>
    <mergeCell ref="C4:I4"/>
    <mergeCell ref="J4:P4"/>
    <mergeCell ref="AD4:AJ4"/>
    <mergeCell ref="DQ4:DW4"/>
    <mergeCell ref="AR4:AX4"/>
    <mergeCell ref="AY4:BE4"/>
    <mergeCell ref="BF4:BL4"/>
    <mergeCell ref="BM4:BS4"/>
    <mergeCell ref="BT4:BZ4"/>
    <mergeCell ref="CA4:CG4"/>
    <mergeCell ref="CH4:CN4"/>
    <mergeCell ref="CO4:CU4"/>
    <mergeCell ref="CV4:DB4"/>
    <mergeCell ref="DC4:DI4"/>
    <mergeCell ref="DJ4:DP4"/>
    <mergeCell ref="C11:I11"/>
    <mergeCell ref="J11:P11"/>
    <mergeCell ref="C18:I18"/>
    <mergeCell ref="J18:P18"/>
    <mergeCell ref="C25:I25"/>
    <mergeCell ref="J25:P25"/>
    <mergeCell ref="C53:I53"/>
    <mergeCell ref="J53:P53"/>
    <mergeCell ref="C60:I60"/>
    <mergeCell ref="J60:P60"/>
    <mergeCell ref="C32:I32"/>
    <mergeCell ref="J32:P32"/>
    <mergeCell ref="C39:I39"/>
    <mergeCell ref="J39:P39"/>
    <mergeCell ref="C46:I46"/>
    <mergeCell ref="J46:P46"/>
  </mergeCells>
  <conditionalFormatting sqref="C7:I10">
    <cfRule type="cellIs" dxfId="157" priority="167" operator="equal">
      <formula>0</formula>
    </cfRule>
    <cfRule type="cellIs" dxfId="156" priority="169" operator="greaterThan">
      <formula>0</formula>
    </cfRule>
  </conditionalFormatting>
  <conditionalFormatting sqref="J7:P10">
    <cfRule type="cellIs" dxfId="155" priority="165" operator="equal">
      <formula>0</formula>
    </cfRule>
    <cfRule type="cellIs" dxfId="154" priority="166" operator="greaterThan">
      <formula>0</formula>
    </cfRule>
  </conditionalFormatting>
  <conditionalFormatting sqref="J14:J17">
    <cfRule type="cellIs" dxfId="153" priority="161" operator="equal">
      <formula>0</formula>
    </cfRule>
    <cfRule type="cellIs" dxfId="152" priority="162" operator="greaterThan">
      <formula>0</formula>
    </cfRule>
  </conditionalFormatting>
  <conditionalFormatting sqref="K14:P17">
    <cfRule type="cellIs" dxfId="151" priority="159" operator="equal">
      <formula>0</formula>
    </cfRule>
    <cfRule type="cellIs" dxfId="150" priority="160" operator="greaterThan">
      <formula>0</formula>
    </cfRule>
  </conditionalFormatting>
  <conditionalFormatting sqref="C14:C17">
    <cfRule type="cellIs" dxfId="149" priority="157" operator="equal">
      <formula>0</formula>
    </cfRule>
    <cfRule type="cellIs" dxfId="148" priority="158" operator="greaterThan">
      <formula>0</formula>
    </cfRule>
  </conditionalFormatting>
  <conditionalFormatting sqref="D14:I17">
    <cfRule type="cellIs" dxfId="147" priority="155" operator="equal">
      <formula>0</formula>
    </cfRule>
    <cfRule type="cellIs" dxfId="146" priority="156" operator="greaterThan">
      <formula>0</formula>
    </cfRule>
  </conditionalFormatting>
  <conditionalFormatting sqref="C21:C24">
    <cfRule type="cellIs" dxfId="145" priority="153" operator="equal">
      <formula>0</formula>
    </cfRule>
    <cfRule type="cellIs" dxfId="144" priority="154" operator="greaterThan">
      <formula>0</formula>
    </cfRule>
  </conditionalFormatting>
  <conditionalFormatting sqref="D21:J24">
    <cfRule type="cellIs" dxfId="143" priority="151" operator="equal">
      <formula>0</formula>
    </cfRule>
    <cfRule type="cellIs" dxfId="142" priority="152" operator="greaterThan">
      <formula>0</formula>
    </cfRule>
  </conditionalFormatting>
  <conditionalFormatting sqref="K21:P24">
    <cfRule type="cellIs" dxfId="141" priority="149" operator="equal">
      <formula>0</formula>
    </cfRule>
    <cfRule type="cellIs" dxfId="140" priority="150" operator="greaterThan">
      <formula>0</formula>
    </cfRule>
  </conditionalFormatting>
  <conditionalFormatting sqref="C28:C31">
    <cfRule type="cellIs" dxfId="139" priority="143" operator="equal">
      <formula>0</formula>
    </cfRule>
    <cfRule type="cellIs" dxfId="138" priority="144" operator="greaterThan">
      <formula>0</formula>
    </cfRule>
  </conditionalFormatting>
  <conditionalFormatting sqref="D28:I31">
    <cfRule type="cellIs" dxfId="137" priority="141" operator="equal">
      <formula>0</formula>
    </cfRule>
    <cfRule type="cellIs" dxfId="136" priority="142" operator="greaterThan">
      <formula>0</formula>
    </cfRule>
  </conditionalFormatting>
  <conditionalFormatting sqref="J28:J31">
    <cfRule type="cellIs" dxfId="135" priority="139" operator="equal">
      <formula>0</formula>
    </cfRule>
    <cfRule type="cellIs" dxfId="134" priority="140" operator="greaterThan">
      <formula>0</formula>
    </cfRule>
  </conditionalFormatting>
  <conditionalFormatting sqref="K28:P31">
    <cfRule type="cellIs" dxfId="133" priority="137" operator="equal">
      <formula>0</formula>
    </cfRule>
    <cfRule type="cellIs" dxfId="132" priority="138" operator="greaterThan">
      <formula>0</formula>
    </cfRule>
  </conditionalFormatting>
  <conditionalFormatting sqref="C35:C38">
    <cfRule type="cellIs" dxfId="131" priority="135" operator="equal">
      <formula>0</formula>
    </cfRule>
    <cfRule type="cellIs" dxfId="130" priority="136" operator="greaterThan">
      <formula>0</formula>
    </cfRule>
  </conditionalFormatting>
  <conditionalFormatting sqref="D35:I38">
    <cfRule type="cellIs" dxfId="129" priority="133" operator="equal">
      <formula>0</formula>
    </cfRule>
    <cfRule type="cellIs" dxfId="128" priority="134" operator="greaterThan">
      <formula>0</formula>
    </cfRule>
  </conditionalFormatting>
  <conditionalFormatting sqref="J35:J38">
    <cfRule type="cellIs" dxfId="127" priority="131" operator="equal">
      <formula>0</formula>
    </cfRule>
    <cfRule type="cellIs" dxfId="126" priority="132" operator="greaterThan">
      <formula>0</formula>
    </cfRule>
  </conditionalFormatting>
  <conditionalFormatting sqref="K35:P38">
    <cfRule type="cellIs" dxfId="125" priority="129" operator="equal">
      <formula>0</formula>
    </cfRule>
    <cfRule type="cellIs" dxfId="124" priority="130" operator="greaterThan">
      <formula>0</formula>
    </cfRule>
  </conditionalFormatting>
  <conditionalFormatting sqref="C42:C45">
    <cfRule type="cellIs" dxfId="123" priority="127" operator="equal">
      <formula>0</formula>
    </cfRule>
    <cfRule type="cellIs" dxfId="122" priority="128" operator="greaterThan">
      <formula>0</formula>
    </cfRule>
  </conditionalFormatting>
  <conditionalFormatting sqref="D42:I45">
    <cfRule type="cellIs" dxfId="121" priority="125" operator="equal">
      <formula>0</formula>
    </cfRule>
    <cfRule type="cellIs" dxfId="120" priority="126" operator="greaterThan">
      <formula>0</formula>
    </cfRule>
  </conditionalFormatting>
  <conditionalFormatting sqref="J42:J45">
    <cfRule type="cellIs" dxfId="119" priority="123" operator="equal">
      <formula>0</formula>
    </cfRule>
    <cfRule type="cellIs" dxfId="118" priority="124" operator="greaterThan">
      <formula>0</formula>
    </cfRule>
  </conditionalFormatting>
  <conditionalFormatting sqref="K42:P45">
    <cfRule type="cellIs" dxfId="117" priority="121" operator="equal">
      <formula>0</formula>
    </cfRule>
    <cfRule type="cellIs" dxfId="116" priority="122" operator="greaterThan">
      <formula>0</formula>
    </cfRule>
  </conditionalFormatting>
  <conditionalFormatting sqref="J49:J52">
    <cfRule type="cellIs" dxfId="115" priority="119" operator="equal">
      <formula>0</formula>
    </cfRule>
    <cfRule type="cellIs" dxfId="114" priority="120" operator="greaterThan">
      <formula>0</formula>
    </cfRule>
  </conditionalFormatting>
  <conditionalFormatting sqref="K49:P52">
    <cfRule type="cellIs" dxfId="113" priority="117" operator="equal">
      <formula>0</formula>
    </cfRule>
    <cfRule type="cellIs" dxfId="112" priority="118" operator="greaterThan">
      <formula>0</formula>
    </cfRule>
  </conditionalFormatting>
  <conditionalFormatting sqref="C49:C52">
    <cfRule type="cellIs" dxfId="111" priority="115" operator="equal">
      <formula>0</formula>
    </cfRule>
    <cfRule type="cellIs" dxfId="110" priority="116" operator="greaterThan">
      <formula>0</formula>
    </cfRule>
  </conditionalFormatting>
  <conditionalFormatting sqref="D49:I52">
    <cfRule type="cellIs" dxfId="109" priority="113" operator="equal">
      <formula>0</formula>
    </cfRule>
    <cfRule type="cellIs" dxfId="108" priority="114" operator="greaterThan">
      <formula>0</formula>
    </cfRule>
  </conditionalFormatting>
  <conditionalFormatting sqref="C56:C59">
    <cfRule type="cellIs" dxfId="107" priority="111" operator="equal">
      <formula>0</formula>
    </cfRule>
    <cfRule type="cellIs" dxfId="106" priority="112" operator="greaterThan">
      <formula>0</formula>
    </cfRule>
  </conditionalFormatting>
  <conditionalFormatting sqref="D56:I59">
    <cfRule type="cellIs" dxfId="105" priority="109" operator="equal">
      <formula>0</formula>
    </cfRule>
    <cfRule type="cellIs" dxfId="104" priority="110" operator="greaterThan">
      <formula>0</formula>
    </cfRule>
  </conditionalFormatting>
  <conditionalFormatting sqref="J56:J59">
    <cfRule type="cellIs" dxfId="103" priority="107" operator="equal">
      <formula>0</formula>
    </cfRule>
    <cfRule type="cellIs" dxfId="102" priority="108" operator="greaterThan">
      <formula>0</formula>
    </cfRule>
  </conditionalFormatting>
  <conditionalFormatting sqref="K56:P59">
    <cfRule type="cellIs" dxfId="101" priority="105" operator="equal">
      <formula>0</formula>
    </cfRule>
    <cfRule type="cellIs" dxfId="100" priority="106" operator="greaterThan">
      <formula>0</formula>
    </cfRule>
  </conditionalFormatting>
  <conditionalFormatting sqref="C63:C66">
    <cfRule type="cellIs" dxfId="99" priority="103" operator="equal">
      <formula>0</formula>
    </cfRule>
    <cfRule type="cellIs" dxfId="98" priority="104" operator="greaterThan">
      <formula>0</formula>
    </cfRule>
  </conditionalFormatting>
  <conditionalFormatting sqref="I65">
    <cfRule type="cellIs" dxfId="97" priority="51" operator="equal">
      <formula>0</formula>
    </cfRule>
    <cfRule type="cellIs" dxfId="96" priority="52" operator="greaterThan">
      <formula>0</formula>
    </cfRule>
  </conditionalFormatting>
  <conditionalFormatting sqref="J63:J66">
    <cfRule type="cellIs" dxfId="95" priority="99" operator="equal">
      <formula>0</formula>
    </cfRule>
    <cfRule type="cellIs" dxfId="94" priority="100" operator="greaterThan">
      <formula>0</formula>
    </cfRule>
  </conditionalFormatting>
  <conditionalFormatting sqref="D66">
    <cfRule type="cellIs" dxfId="93" priority="95" operator="equal">
      <formula>0</formula>
    </cfRule>
    <cfRule type="cellIs" dxfId="92" priority="96" operator="greaterThan">
      <formula>0</formula>
    </cfRule>
  </conditionalFormatting>
  <conditionalFormatting sqref="D65">
    <cfRule type="cellIs" dxfId="91" priority="93" operator="equal">
      <formula>0</formula>
    </cfRule>
    <cfRule type="cellIs" dxfId="90" priority="94" operator="greaterThan">
      <formula>0</formula>
    </cfRule>
  </conditionalFormatting>
  <conditionalFormatting sqref="D64">
    <cfRule type="cellIs" dxfId="89" priority="91" operator="equal">
      <formula>0</formula>
    </cfRule>
    <cfRule type="cellIs" dxfId="88" priority="92" operator="greaterThan">
      <formula>0</formula>
    </cfRule>
  </conditionalFormatting>
  <conditionalFormatting sqref="D63">
    <cfRule type="cellIs" dxfId="87" priority="89" operator="equal">
      <formula>0</formula>
    </cfRule>
    <cfRule type="cellIs" dxfId="86" priority="90" operator="greaterThan">
      <formula>0</formula>
    </cfRule>
  </conditionalFormatting>
  <conditionalFormatting sqref="E63">
    <cfRule type="cellIs" dxfId="85" priority="87" operator="equal">
      <formula>0</formula>
    </cfRule>
    <cfRule type="cellIs" dxfId="84" priority="88" operator="greaterThan">
      <formula>0</formula>
    </cfRule>
  </conditionalFormatting>
  <conditionalFormatting sqref="E64">
    <cfRule type="cellIs" dxfId="83" priority="85" operator="equal">
      <formula>0</formula>
    </cfRule>
    <cfRule type="cellIs" dxfId="82" priority="86" operator="greaterThan">
      <formula>0</formula>
    </cfRule>
  </conditionalFormatting>
  <conditionalFormatting sqref="E65">
    <cfRule type="cellIs" dxfId="81" priority="83" operator="equal">
      <formula>0</formula>
    </cfRule>
    <cfRule type="cellIs" dxfId="80" priority="84" operator="greaterThan">
      <formula>0</formula>
    </cfRule>
  </conditionalFormatting>
  <conditionalFormatting sqref="E66">
    <cfRule type="cellIs" dxfId="79" priority="81" operator="equal">
      <formula>0</formula>
    </cfRule>
    <cfRule type="cellIs" dxfId="78" priority="82" operator="greaterThan">
      <formula>0</formula>
    </cfRule>
  </conditionalFormatting>
  <conditionalFormatting sqref="F66">
    <cfRule type="cellIs" dxfId="77" priority="79" operator="equal">
      <formula>0</formula>
    </cfRule>
    <cfRule type="cellIs" dxfId="76" priority="80" operator="greaterThan">
      <formula>0</formula>
    </cfRule>
  </conditionalFormatting>
  <conditionalFormatting sqref="F65">
    <cfRule type="cellIs" dxfId="75" priority="77" operator="equal">
      <formula>0</formula>
    </cfRule>
    <cfRule type="cellIs" dxfId="74" priority="78" operator="greaterThan">
      <formula>0</formula>
    </cfRule>
  </conditionalFormatting>
  <conditionalFormatting sqref="F64">
    <cfRule type="cellIs" dxfId="73" priority="75" operator="equal">
      <formula>0</formula>
    </cfRule>
    <cfRule type="cellIs" dxfId="72" priority="76" operator="greaterThan">
      <formula>0</formula>
    </cfRule>
  </conditionalFormatting>
  <conditionalFormatting sqref="F63">
    <cfRule type="cellIs" dxfId="71" priority="73" operator="equal">
      <formula>0</formula>
    </cfRule>
    <cfRule type="cellIs" dxfId="70" priority="74" operator="greaterThan">
      <formula>0</formula>
    </cfRule>
  </conditionalFormatting>
  <conditionalFormatting sqref="G63">
    <cfRule type="cellIs" dxfId="69" priority="71" operator="equal">
      <formula>0</formula>
    </cfRule>
    <cfRule type="cellIs" dxfId="68" priority="72" operator="greaterThan">
      <formula>0</formula>
    </cfRule>
  </conditionalFormatting>
  <conditionalFormatting sqref="G64">
    <cfRule type="cellIs" dxfId="67" priority="69" operator="equal">
      <formula>0</formula>
    </cfRule>
    <cfRule type="cellIs" dxfId="66" priority="70" operator="greaterThan">
      <formula>0</formula>
    </cfRule>
  </conditionalFormatting>
  <conditionalFormatting sqref="G65">
    <cfRule type="cellIs" dxfId="65" priority="67" operator="equal">
      <formula>0</formula>
    </cfRule>
    <cfRule type="cellIs" dxfId="64" priority="68" operator="greaterThan">
      <formula>0</formula>
    </cfRule>
  </conditionalFormatting>
  <conditionalFormatting sqref="G66">
    <cfRule type="cellIs" dxfId="63" priority="65" operator="equal">
      <formula>0</formula>
    </cfRule>
    <cfRule type="cellIs" dxfId="62" priority="66" operator="greaterThan">
      <formula>0</formula>
    </cfRule>
  </conditionalFormatting>
  <conditionalFormatting sqref="H66">
    <cfRule type="cellIs" dxfId="61" priority="63" operator="equal">
      <formula>0</formula>
    </cfRule>
    <cfRule type="cellIs" dxfId="60" priority="64" operator="greaterThan">
      <formula>0</formula>
    </cfRule>
  </conditionalFormatting>
  <conditionalFormatting sqref="H65">
    <cfRule type="cellIs" dxfId="59" priority="61" operator="equal">
      <formula>0</formula>
    </cfRule>
    <cfRule type="cellIs" dxfId="58" priority="62" operator="greaterThan">
      <formula>0</formula>
    </cfRule>
  </conditionalFormatting>
  <conditionalFormatting sqref="H64">
    <cfRule type="cellIs" dxfId="57" priority="59" operator="equal">
      <formula>0</formula>
    </cfRule>
    <cfRule type="cellIs" dxfId="56" priority="60" operator="greaterThan">
      <formula>0</formula>
    </cfRule>
  </conditionalFormatting>
  <conditionalFormatting sqref="H63">
    <cfRule type="cellIs" dxfId="55" priority="57" operator="equal">
      <formula>0</formula>
    </cfRule>
    <cfRule type="cellIs" dxfId="54" priority="58" operator="greaterThan">
      <formula>0</formula>
    </cfRule>
  </conditionalFormatting>
  <conditionalFormatting sqref="I63">
    <cfRule type="cellIs" dxfId="53" priority="55" operator="equal">
      <formula>0</formula>
    </cfRule>
    <cfRule type="cellIs" dxfId="52" priority="56" operator="greaterThan">
      <formula>0</formula>
    </cfRule>
  </conditionalFormatting>
  <conditionalFormatting sqref="I64">
    <cfRule type="cellIs" dxfId="51" priority="53" operator="equal">
      <formula>0</formula>
    </cfRule>
    <cfRule type="cellIs" dxfId="50" priority="54" operator="greaterThan">
      <formula>0</formula>
    </cfRule>
  </conditionalFormatting>
  <conditionalFormatting sqref="I66">
    <cfRule type="cellIs" dxfId="49" priority="49" operator="equal">
      <formula>0</formula>
    </cfRule>
    <cfRule type="cellIs" dxfId="48" priority="50" operator="greaterThan">
      <formula>0</formula>
    </cfRule>
  </conditionalFormatting>
  <conditionalFormatting sqref="K66">
    <cfRule type="cellIs" dxfId="47" priority="47" operator="equal">
      <formula>0</formula>
    </cfRule>
    <cfRule type="cellIs" dxfId="46" priority="48" operator="greaterThan">
      <formula>0</formula>
    </cfRule>
  </conditionalFormatting>
  <conditionalFormatting sqref="K65">
    <cfRule type="cellIs" dxfId="45" priority="45" operator="equal">
      <formula>0</formula>
    </cfRule>
    <cfRule type="cellIs" dxfId="44" priority="46" operator="greaterThan">
      <formula>0</formula>
    </cfRule>
  </conditionalFormatting>
  <conditionalFormatting sqref="K64">
    <cfRule type="cellIs" dxfId="43" priority="43" operator="equal">
      <formula>0</formula>
    </cfRule>
    <cfRule type="cellIs" dxfId="42" priority="44" operator="greaterThan">
      <formula>0</formula>
    </cfRule>
  </conditionalFormatting>
  <conditionalFormatting sqref="K63">
    <cfRule type="cellIs" dxfId="41" priority="41" operator="equal">
      <formula>0</formula>
    </cfRule>
    <cfRule type="cellIs" dxfId="40" priority="42" operator="greaterThan">
      <formula>0</formula>
    </cfRule>
  </conditionalFormatting>
  <conditionalFormatting sqref="L63">
    <cfRule type="cellIs" dxfId="39" priority="39" operator="equal">
      <formula>0</formula>
    </cfRule>
    <cfRule type="cellIs" dxfId="38" priority="40" operator="greaterThan">
      <formula>0</formula>
    </cfRule>
  </conditionalFormatting>
  <conditionalFormatting sqref="L64">
    <cfRule type="cellIs" dxfId="37" priority="37" operator="equal">
      <formula>0</formula>
    </cfRule>
    <cfRule type="cellIs" dxfId="36" priority="38" operator="greaterThan">
      <formula>0</formula>
    </cfRule>
  </conditionalFormatting>
  <conditionalFormatting sqref="L65">
    <cfRule type="cellIs" dxfId="35" priority="35" operator="equal">
      <formula>0</formula>
    </cfRule>
    <cfRule type="cellIs" dxfId="34" priority="36" operator="greaterThan">
      <formula>0</formula>
    </cfRule>
  </conditionalFormatting>
  <conditionalFormatting sqref="L66">
    <cfRule type="cellIs" dxfId="33" priority="33" operator="equal">
      <formula>0</formula>
    </cfRule>
    <cfRule type="cellIs" dxfId="32" priority="34" operator="greaterThan">
      <formula>0</formula>
    </cfRule>
  </conditionalFormatting>
  <conditionalFormatting sqref="M66">
    <cfRule type="cellIs" dxfId="31" priority="31" operator="equal">
      <formula>0</formula>
    </cfRule>
    <cfRule type="cellIs" dxfId="30" priority="32" operator="greaterThan">
      <formula>0</formula>
    </cfRule>
  </conditionalFormatting>
  <conditionalFormatting sqref="M65">
    <cfRule type="cellIs" dxfId="29" priority="29" operator="equal">
      <formula>0</formula>
    </cfRule>
    <cfRule type="cellIs" dxfId="28" priority="30" operator="greaterThan">
      <formula>0</formula>
    </cfRule>
  </conditionalFormatting>
  <conditionalFormatting sqref="M64">
    <cfRule type="cellIs" dxfId="27" priority="27" operator="equal">
      <formula>0</formula>
    </cfRule>
    <cfRule type="cellIs" dxfId="26" priority="28" operator="greaterThan">
      <formula>0</formula>
    </cfRule>
  </conditionalFormatting>
  <conditionalFormatting sqref="M63">
    <cfRule type="cellIs" dxfId="25" priority="25" operator="equal">
      <formula>0</formula>
    </cfRule>
    <cfRule type="cellIs" dxfId="24" priority="26" operator="greaterThan">
      <formula>0</formula>
    </cfRule>
  </conditionalFormatting>
  <conditionalFormatting sqref="N63">
    <cfRule type="cellIs" dxfId="23" priority="23" operator="equal">
      <formula>0</formula>
    </cfRule>
    <cfRule type="cellIs" dxfId="22" priority="24" operator="greaterThan">
      <formula>0</formula>
    </cfRule>
  </conditionalFormatting>
  <conditionalFormatting sqref="N64">
    <cfRule type="cellIs" dxfId="21" priority="21" operator="equal">
      <formula>0</formula>
    </cfRule>
    <cfRule type="cellIs" dxfId="20" priority="22" operator="greaterThan">
      <formula>0</formula>
    </cfRule>
  </conditionalFormatting>
  <conditionalFormatting sqref="N65">
    <cfRule type="cellIs" dxfId="19" priority="19" operator="equal">
      <formula>0</formula>
    </cfRule>
    <cfRule type="cellIs" dxfId="18" priority="20" operator="greaterThan">
      <formula>0</formula>
    </cfRule>
  </conditionalFormatting>
  <conditionalFormatting sqref="N66">
    <cfRule type="cellIs" dxfId="17" priority="17" operator="equal">
      <formula>0</formula>
    </cfRule>
    <cfRule type="cellIs" dxfId="16" priority="18" operator="greaterThan">
      <formula>0</formula>
    </cfRule>
  </conditionalFormatting>
  <conditionalFormatting sqref="O66">
    <cfRule type="cellIs" dxfId="15" priority="15" operator="equal">
      <formula>0</formula>
    </cfRule>
    <cfRule type="cellIs" dxfId="14" priority="16" operator="greaterThan">
      <formula>0</formula>
    </cfRule>
  </conditionalFormatting>
  <conditionalFormatting sqref="O65">
    <cfRule type="cellIs" dxfId="13" priority="13" operator="equal">
      <formula>0</formula>
    </cfRule>
    <cfRule type="cellIs" dxfId="12" priority="14" operator="greaterThan">
      <formula>0</formula>
    </cfRule>
  </conditionalFormatting>
  <conditionalFormatting sqref="O64">
    <cfRule type="cellIs" dxfId="11" priority="11" operator="equal">
      <formula>0</formula>
    </cfRule>
    <cfRule type="cellIs" dxfId="10" priority="12" operator="greaterThan">
      <formula>0</formula>
    </cfRule>
  </conditionalFormatting>
  <conditionalFormatting sqref="O63">
    <cfRule type="cellIs" dxfId="9" priority="9" operator="equal">
      <formula>0</formula>
    </cfRule>
    <cfRule type="cellIs" dxfId="8" priority="10" operator="greaterThan">
      <formula>0</formula>
    </cfRule>
  </conditionalFormatting>
  <conditionalFormatting sqref="P63">
    <cfRule type="cellIs" dxfId="7" priority="7" operator="equal">
      <formula>0</formula>
    </cfRule>
    <cfRule type="cellIs" dxfId="6" priority="8" operator="greaterThan">
      <formula>0</formula>
    </cfRule>
  </conditionalFormatting>
  <conditionalFormatting sqref="P64">
    <cfRule type="cellIs" dxfId="5" priority="5" operator="equal">
      <formula>0</formula>
    </cfRule>
    <cfRule type="cellIs" dxfId="4" priority="6" operator="greaterThan">
      <formula>0</formula>
    </cfRule>
  </conditionalFormatting>
  <conditionalFormatting sqref="P65">
    <cfRule type="cellIs" dxfId="3" priority="3" operator="equal">
      <formula>0</formula>
    </cfRule>
    <cfRule type="cellIs" dxfId="2" priority="4" operator="greaterThan">
      <formula>0</formula>
    </cfRule>
  </conditionalFormatting>
  <conditionalFormatting sqref="P66">
    <cfRule type="cellIs" dxfId="1" priority="1" operator="equal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landscape" r:id="rId1"/>
  <headerFooter>
    <oddHeader>&amp;LGruppe 6 (Dittli, Jolo, Kammermann, Lam)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E55"/>
  <sheetViews>
    <sheetView zoomScale="50" zoomScaleNormal="50" workbookViewId="0">
      <pane xSplit="1" topLeftCell="C1" activePane="topRight" state="frozen"/>
      <selection pane="topRight" activeCell="X42" sqref="X42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34</v>
      </c>
      <c r="C3" s="67"/>
      <c r="D3" s="67"/>
      <c r="E3" s="68"/>
      <c r="F3" s="66" t="s">
        <v>35</v>
      </c>
      <c r="G3" s="67"/>
      <c r="H3" s="67"/>
      <c r="I3" s="68"/>
      <c r="J3" s="75" t="s">
        <v>36</v>
      </c>
      <c r="K3" s="69"/>
      <c r="L3" s="69"/>
      <c r="M3" s="70"/>
      <c r="N3" s="76" t="s">
        <v>40</v>
      </c>
      <c r="O3" s="77"/>
      <c r="P3" s="77"/>
      <c r="Q3" s="78"/>
      <c r="R3" s="77" t="s">
        <v>39</v>
      </c>
      <c r="S3" s="77"/>
      <c r="T3" s="77"/>
      <c r="U3" s="78"/>
      <c r="V3" s="66" t="s">
        <v>38</v>
      </c>
      <c r="W3" s="67"/>
      <c r="X3" s="67"/>
      <c r="Y3" s="68"/>
      <c r="Z3" s="69" t="s">
        <v>37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17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17"/>
      <c r="K11" s="21"/>
      <c r="L11" s="15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17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21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17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21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17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21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17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21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17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21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5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21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21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18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18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18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18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18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8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8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8"/>
      <c r="P31" s="17"/>
      <c r="Q31" s="10"/>
      <c r="R31" s="17"/>
      <c r="S31" s="17"/>
      <c r="T31" s="17"/>
      <c r="U31" s="12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8"/>
      <c r="P32" s="17"/>
      <c r="Q32" s="10"/>
      <c r="R32" s="17"/>
      <c r="S32" s="17"/>
      <c r="T32" s="17"/>
      <c r="U32" s="12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8"/>
      <c r="P33" s="17"/>
      <c r="Q33" s="10"/>
      <c r="R33" s="17"/>
      <c r="S33" s="17"/>
      <c r="T33" s="17"/>
      <c r="U33" s="12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8"/>
      <c r="P34" s="17"/>
      <c r="Q34" s="10"/>
      <c r="R34" s="17"/>
      <c r="S34" s="17"/>
      <c r="T34" s="17"/>
      <c r="U34" s="12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8"/>
      <c r="P35" s="17"/>
      <c r="Q35" s="10"/>
      <c r="R35" s="17"/>
      <c r="S35" s="17"/>
      <c r="T35" s="17"/>
      <c r="U35" s="12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8"/>
      <c r="P36" s="17"/>
      <c r="Q36" s="10"/>
      <c r="R36" s="17"/>
      <c r="S36" s="17"/>
      <c r="T36" s="17"/>
      <c r="U36" s="12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8"/>
      <c r="P37" s="17"/>
      <c r="Q37" s="10"/>
      <c r="R37" s="17"/>
      <c r="S37" s="17"/>
      <c r="T37" s="17"/>
      <c r="U37" s="12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8"/>
      <c r="P38" s="17"/>
      <c r="Q38" s="10"/>
      <c r="R38" s="17"/>
      <c r="S38" s="17"/>
      <c r="T38" s="17"/>
      <c r="U38" s="12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8"/>
      <c r="P39" s="17"/>
      <c r="Q39" s="10"/>
      <c r="R39" s="17"/>
      <c r="S39" s="17"/>
      <c r="T39" s="17"/>
      <c r="U39" s="12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3.5</v>
      </c>
      <c r="D41">
        <f>(colorfunction(D55,D6:D40, FALSE)/2)</f>
        <v>3</v>
      </c>
      <c r="E41">
        <f>(colorfunction(D55,E6:E40,FALSE)/2)</f>
        <v>3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3.5</v>
      </c>
      <c r="J41">
        <f>(colorfunction(D55,J6:J40, FALSE)/2)</f>
        <v>4.5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2.5</v>
      </c>
      <c r="Y41">
        <f>(colorfunction(D55,Y6:Y40, FALSE)/2)</f>
        <v>3.5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18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13</v>
      </c>
      <c r="H49" t="s">
        <v>200</v>
      </c>
    </row>
    <row r="50" spans="2:8" x14ac:dyDescent="0.35">
      <c r="F50" s="56" t="s">
        <v>198</v>
      </c>
      <c r="G50" s="57">
        <f>SUM(E41+M41+Q41+U41+Y41+AC41)</f>
        <v>19.5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Z4:AC4"/>
    <mergeCell ref="B2:E2"/>
    <mergeCell ref="B3:E3"/>
    <mergeCell ref="F3:I3"/>
    <mergeCell ref="J3:M3"/>
    <mergeCell ref="B4:E4"/>
    <mergeCell ref="F4:I4"/>
    <mergeCell ref="J4:M4"/>
    <mergeCell ref="N3:Q3"/>
    <mergeCell ref="N4:Q4"/>
    <mergeCell ref="R4:U4"/>
    <mergeCell ref="R3:U3"/>
    <mergeCell ref="V4:Y4"/>
  </mergeCells>
  <pageMargins left="0.7" right="0.7" top="0.75" bottom="0.75" header="0.3" footer="0.3"/>
  <pageSetup paperSize="9" scale="2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55"/>
  <sheetViews>
    <sheetView zoomScale="50" zoomScaleNormal="50" workbookViewId="0">
      <pane xSplit="1" topLeftCell="F1" activePane="topRight" state="frozen"/>
      <selection pane="topRight" activeCell="H24" sqref="H24:H2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8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51</v>
      </c>
      <c r="C3" s="67"/>
      <c r="D3" s="67"/>
      <c r="E3" s="68"/>
      <c r="F3" s="66" t="s">
        <v>52</v>
      </c>
      <c r="G3" s="67"/>
      <c r="H3" s="67"/>
      <c r="I3" s="68"/>
      <c r="J3" s="66" t="s">
        <v>53</v>
      </c>
      <c r="K3" s="67"/>
      <c r="L3" s="67"/>
      <c r="M3" s="68"/>
      <c r="N3" s="76" t="s">
        <v>54</v>
      </c>
      <c r="O3" s="77"/>
      <c r="P3" s="77"/>
      <c r="Q3" s="78"/>
      <c r="R3" s="77" t="s">
        <v>55</v>
      </c>
      <c r="S3" s="77"/>
      <c r="T3" s="77"/>
      <c r="U3" s="78"/>
      <c r="V3" s="66" t="s">
        <v>56</v>
      </c>
      <c r="W3" s="67"/>
      <c r="X3" s="67"/>
      <c r="Y3" s="68"/>
      <c r="Z3" s="69" t="s">
        <v>57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21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54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21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54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21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5"/>
      <c r="Y12" s="54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21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5"/>
      <c r="Y13" s="54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21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5"/>
      <c r="Y14" s="54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21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54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5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5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5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0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2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2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2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2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2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2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2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5"/>
    </row>
    <row r="38" spans="1:31" x14ac:dyDescent="0.35">
      <c r="A38" s="27">
        <v>0.95833333333333304</v>
      </c>
      <c r="B38" s="10"/>
      <c r="C38" s="17"/>
      <c r="D38" s="17"/>
      <c r="E38" s="12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5"/>
    </row>
    <row r="39" spans="1:31" x14ac:dyDescent="0.35">
      <c r="A39" s="27">
        <v>0.97916666666666596</v>
      </c>
      <c r="B39" s="10"/>
      <c r="C39" s="17"/>
      <c r="D39" s="17"/>
      <c r="E39" s="12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34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2.5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1.5</v>
      </c>
      <c r="Y41">
        <f>(colorfunction(D55,Y6:Y40, FALSE)/2)</f>
        <v>3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46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11.5</v>
      </c>
      <c r="H49" t="s">
        <v>200</v>
      </c>
    </row>
    <row r="50" spans="2:8" x14ac:dyDescent="0.35">
      <c r="F50" s="56" t="s">
        <v>198</v>
      </c>
      <c r="G50" s="57">
        <f>SUM(E41+M41+Q41+U41+Y41+AC41)</f>
        <v>20.5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55"/>
  <sheetViews>
    <sheetView zoomScale="50" zoomScaleNormal="50" workbookViewId="0">
      <pane xSplit="1" topLeftCell="B1" activePane="topRight" state="frozen"/>
      <selection pane="topRight" activeCell="D22" sqref="D22:D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9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74" t="s">
        <v>9</v>
      </c>
      <c r="R2" s="74"/>
      <c r="S2" s="74"/>
      <c r="T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61</v>
      </c>
      <c r="C3" s="67"/>
      <c r="D3" s="67"/>
      <c r="E3" s="68"/>
      <c r="F3" s="66" t="s">
        <v>62</v>
      </c>
      <c r="G3" s="67"/>
      <c r="H3" s="67"/>
      <c r="I3" s="68"/>
      <c r="J3" s="75" t="s">
        <v>63</v>
      </c>
      <c r="K3" s="69"/>
      <c r="L3" s="69"/>
      <c r="M3" s="70"/>
      <c r="N3" s="76" t="s">
        <v>64</v>
      </c>
      <c r="O3" s="77"/>
      <c r="P3" s="77"/>
      <c r="Q3" s="78"/>
      <c r="R3" s="77" t="s">
        <v>65</v>
      </c>
      <c r="S3" s="77"/>
      <c r="T3" s="77"/>
      <c r="U3" s="78"/>
      <c r="V3" s="66" t="s">
        <v>66</v>
      </c>
      <c r="W3" s="67"/>
      <c r="X3" s="67"/>
      <c r="Y3" s="68"/>
      <c r="Z3" s="69" t="s">
        <v>67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5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5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5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5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5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21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5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5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</v>
      </c>
      <c r="M41">
        <f>(colorfunction(D55,M6:M40, FALSE)/2)</f>
        <v>10.5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1.5</v>
      </c>
      <c r="Y41">
        <f>(colorfunction(D55,Y6:Y40, FALSE)/2)</f>
        <v>3.5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10.5</v>
      </c>
      <c r="H49" t="s">
        <v>200</v>
      </c>
    </row>
    <row r="50" spans="2:8" x14ac:dyDescent="0.35">
      <c r="F50" s="56" t="s">
        <v>198</v>
      </c>
      <c r="G50" s="57">
        <f>SUM(E41+M41+Q41+U41+Y41+AC41)</f>
        <v>22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6">
    <mergeCell ref="Q2:S2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55"/>
  <sheetViews>
    <sheetView zoomScale="50" zoomScaleNormal="50" workbookViewId="0">
      <pane xSplit="1" topLeftCell="J1" activePane="topRight" state="frozen"/>
      <selection pane="topRight" activeCell="D22" sqref="D22:D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74"/>
      <c r="V2" s="74"/>
      <c r="W2" s="74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68</v>
      </c>
      <c r="C3" s="67"/>
      <c r="D3" s="67"/>
      <c r="E3" s="68"/>
      <c r="F3" s="66" t="s">
        <v>69</v>
      </c>
      <c r="G3" s="67"/>
      <c r="H3" s="67"/>
      <c r="I3" s="68"/>
      <c r="J3" s="75" t="s">
        <v>70</v>
      </c>
      <c r="K3" s="69"/>
      <c r="L3" s="69"/>
      <c r="M3" s="70"/>
      <c r="N3" s="76" t="s">
        <v>71</v>
      </c>
      <c r="O3" s="77"/>
      <c r="P3" s="77"/>
      <c r="Q3" s="78"/>
      <c r="R3" s="77" t="s">
        <v>72</v>
      </c>
      <c r="S3" s="77"/>
      <c r="T3" s="77"/>
      <c r="U3" s="78"/>
      <c r="V3" s="66" t="s">
        <v>73</v>
      </c>
      <c r="W3" s="67"/>
      <c r="X3" s="67"/>
      <c r="Y3" s="68"/>
      <c r="Z3" s="69" t="s">
        <v>74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5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5" t="s">
        <v>202</v>
      </c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5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5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5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17"/>
      <c r="G22" s="21"/>
      <c r="H22" s="17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5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21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5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5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21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21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21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5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5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3.5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1.5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2</v>
      </c>
      <c r="Y41">
        <f>(colorfunction(D55,Y6:Y40, FALSE)/2)</f>
        <v>3.5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22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14</v>
      </c>
      <c r="H49" t="s">
        <v>200</v>
      </c>
    </row>
    <row r="50" spans="2:8" x14ac:dyDescent="0.35">
      <c r="F50" s="56" t="s">
        <v>198</v>
      </c>
      <c r="G50" s="57">
        <f>SUM(E41+M41+Q41+U41+Y41+AC41)</f>
        <v>21.5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6">
    <mergeCell ref="U2:W2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55"/>
  <sheetViews>
    <sheetView zoomScale="40" zoomScaleNormal="40" workbookViewId="0">
      <pane xSplit="1" topLeftCell="D1" activePane="topRight" state="frozen"/>
      <selection pane="topRight" activeCell="H25" sqref="H25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11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75</v>
      </c>
      <c r="C3" s="67"/>
      <c r="D3" s="67"/>
      <c r="E3" s="68"/>
      <c r="F3" s="66" t="s">
        <v>76</v>
      </c>
      <c r="G3" s="67"/>
      <c r="H3" s="67"/>
      <c r="I3" s="68"/>
      <c r="J3" s="75" t="s">
        <v>77</v>
      </c>
      <c r="K3" s="69"/>
      <c r="L3" s="69"/>
      <c r="M3" s="70"/>
      <c r="N3" s="66" t="s">
        <v>78</v>
      </c>
      <c r="O3" s="67"/>
      <c r="P3" s="67"/>
      <c r="Q3" s="68"/>
      <c r="R3" s="77" t="s">
        <v>79</v>
      </c>
      <c r="S3" s="77"/>
      <c r="T3" s="77"/>
      <c r="U3" s="78"/>
      <c r="V3" s="66" t="s">
        <v>80</v>
      </c>
      <c r="W3" s="67"/>
      <c r="X3" s="67"/>
      <c r="Y3" s="68"/>
      <c r="Z3" s="69" t="s">
        <v>81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2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2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2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5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5"/>
      <c r="M11" s="12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5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2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2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2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2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2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12"/>
      <c r="D17" s="18"/>
      <c r="E17" s="12"/>
      <c r="F17" s="17"/>
      <c r="G17" s="17"/>
      <c r="H17" s="17"/>
      <c r="I17" s="10"/>
      <c r="J17" s="17"/>
      <c r="K17" s="21"/>
      <c r="L17" s="17"/>
      <c r="M17" s="12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12"/>
      <c r="D18" s="18"/>
      <c r="E18" s="12"/>
      <c r="F18" s="17"/>
      <c r="G18" s="17"/>
      <c r="H18" s="17"/>
      <c r="I18" s="10"/>
      <c r="J18" s="17"/>
      <c r="K18" s="21"/>
      <c r="L18" s="17"/>
      <c r="M18" s="12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12"/>
      <c r="D19" s="18"/>
      <c r="E19" s="15"/>
      <c r="F19" s="19"/>
      <c r="G19" s="19"/>
      <c r="H19" s="19"/>
      <c r="I19" s="13"/>
      <c r="J19" s="17"/>
      <c r="K19" s="21"/>
      <c r="L19" s="17"/>
      <c r="M19" s="12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12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12"/>
      <c r="D21" s="18"/>
      <c r="E21" s="15"/>
      <c r="F21" s="19"/>
      <c r="G21" s="19"/>
      <c r="H21" s="19"/>
      <c r="I21" s="13"/>
      <c r="J21" s="19"/>
      <c r="K21" s="19"/>
      <c r="L21" s="19"/>
      <c r="M21" s="12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12"/>
      <c r="D22" s="21"/>
      <c r="E22" s="15"/>
      <c r="F22" s="21"/>
      <c r="G22" s="21"/>
      <c r="H22" s="21"/>
      <c r="I22" s="10"/>
      <c r="J22" s="19"/>
      <c r="K22" s="19"/>
      <c r="L22" s="19"/>
      <c r="M22" s="12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12"/>
      <c r="D23" s="21"/>
      <c r="E23" s="15"/>
      <c r="F23" s="21"/>
      <c r="G23" s="21"/>
      <c r="H23" s="21"/>
      <c r="I23" s="15"/>
      <c r="J23" s="19"/>
      <c r="K23" s="19"/>
      <c r="L23" s="19"/>
      <c r="M23" s="12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12"/>
      <c r="D24" s="19"/>
      <c r="E24" s="13"/>
      <c r="F24" s="21"/>
      <c r="G24" s="21"/>
      <c r="H24" s="21"/>
      <c r="I24" s="15"/>
      <c r="J24" s="21"/>
      <c r="K24" s="21"/>
      <c r="L24" s="21"/>
      <c r="M24" s="12"/>
      <c r="N24" s="21"/>
      <c r="O24" s="21"/>
      <c r="P24" s="19"/>
      <c r="Q24" s="13"/>
      <c r="R24" s="19"/>
      <c r="S24" s="19"/>
      <c r="T24" s="15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12"/>
      <c r="D25" s="19"/>
      <c r="E25" s="13"/>
      <c r="F25" s="21"/>
      <c r="G25" s="21"/>
      <c r="H25" s="21"/>
      <c r="I25" s="15"/>
      <c r="J25" s="21"/>
      <c r="K25" s="21"/>
      <c r="L25" s="21"/>
      <c r="M25" s="12"/>
      <c r="N25" s="21"/>
      <c r="O25" s="21"/>
      <c r="P25" s="19"/>
      <c r="Q25" s="13"/>
      <c r="R25" s="19"/>
      <c r="S25" s="19"/>
      <c r="T25" s="15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12"/>
      <c r="D26" s="19"/>
      <c r="E26" s="13"/>
      <c r="F26" s="21"/>
      <c r="G26" s="21"/>
      <c r="H26" s="17"/>
      <c r="I26" s="15"/>
      <c r="J26" s="21"/>
      <c r="K26" s="21"/>
      <c r="L26" s="21"/>
      <c r="M26" s="12"/>
      <c r="N26" s="21"/>
      <c r="O26" s="21"/>
      <c r="P26" s="19"/>
      <c r="Q26" s="13"/>
      <c r="R26" s="19"/>
      <c r="S26" s="19"/>
      <c r="T26" s="15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12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12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2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5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2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5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2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2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2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2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2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2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2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2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0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</v>
      </c>
      <c r="M41">
        <f>(colorfunction(D55,M6:M40, FALSE)/2)</f>
        <v>3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1.5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1</v>
      </c>
      <c r="Y41">
        <f>(colorfunction(D55,Y6:Y40, FALSE)/2)</f>
        <v>3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13.5</v>
      </c>
      <c r="H49" t="s">
        <v>200</v>
      </c>
    </row>
    <row r="50" spans="2:8" x14ac:dyDescent="0.35">
      <c r="F50" s="56" t="s">
        <v>198</v>
      </c>
      <c r="G50" s="57">
        <f>SUM(E41+M41+Q41+U41+Y41+AC41)</f>
        <v>11.5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55"/>
  <sheetViews>
    <sheetView zoomScale="40" zoomScaleNormal="40" workbookViewId="0">
      <pane xSplit="1" topLeftCell="D1" activePane="topRight" state="frozen"/>
      <selection pane="topRight" activeCell="T24" sqref="T24:T25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12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82</v>
      </c>
      <c r="C3" s="67"/>
      <c r="D3" s="67"/>
      <c r="E3" s="68"/>
      <c r="F3" s="66" t="s">
        <v>83</v>
      </c>
      <c r="G3" s="67"/>
      <c r="H3" s="67"/>
      <c r="I3" s="68"/>
      <c r="J3" s="75" t="s">
        <v>84</v>
      </c>
      <c r="K3" s="69"/>
      <c r="L3" s="69"/>
      <c r="M3" s="70"/>
      <c r="N3" s="66" t="s">
        <v>85</v>
      </c>
      <c r="O3" s="67"/>
      <c r="P3" s="67"/>
      <c r="Q3" s="68"/>
      <c r="R3" s="77" t="s">
        <v>86</v>
      </c>
      <c r="S3" s="77"/>
      <c r="T3" s="77"/>
      <c r="U3" s="78"/>
      <c r="V3" s="66" t="s">
        <v>87</v>
      </c>
      <c r="W3" s="67"/>
      <c r="X3" s="67"/>
      <c r="Y3" s="68"/>
      <c r="Z3" s="69" t="s">
        <v>88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5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5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5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5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5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15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15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15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5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15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15"/>
      <c r="C22" s="21"/>
      <c r="D22" s="15"/>
      <c r="E22" s="15"/>
      <c r="F22" s="19"/>
      <c r="G22" s="17"/>
      <c r="H22" s="15"/>
      <c r="I22" s="10"/>
      <c r="J22" s="19"/>
      <c r="K22" s="19"/>
      <c r="L22" s="19"/>
      <c r="M22" s="13"/>
      <c r="N22" s="21"/>
      <c r="O22" s="21"/>
      <c r="P22" s="15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15"/>
      <c r="C23" s="21"/>
      <c r="D23" s="15"/>
      <c r="E23" s="15"/>
      <c r="F23" s="19"/>
      <c r="G23" s="17"/>
      <c r="H23" s="15"/>
      <c r="I23" s="10"/>
      <c r="J23" s="19"/>
      <c r="K23" s="19"/>
      <c r="L23" s="19"/>
      <c r="M23" s="13"/>
      <c r="N23" s="21"/>
      <c r="O23" s="21"/>
      <c r="P23" s="15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15"/>
      <c r="C24" s="21"/>
      <c r="D24" s="19"/>
      <c r="E24" s="13"/>
      <c r="F24" s="19"/>
      <c r="G24" s="17"/>
      <c r="H24" s="15"/>
      <c r="I24" s="10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5"/>
      <c r="U24" s="15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15"/>
      <c r="C25" s="21"/>
      <c r="D25" s="19"/>
      <c r="E25" s="13"/>
      <c r="F25" s="19"/>
      <c r="G25" s="17"/>
      <c r="H25" s="17"/>
      <c r="I25" s="10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5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15"/>
      <c r="C26" s="21"/>
      <c r="D26" s="19"/>
      <c r="E26" s="13"/>
      <c r="F26" s="19"/>
      <c r="G26" s="17"/>
      <c r="H26" s="17"/>
      <c r="I26" s="10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15"/>
      <c r="C27" s="21"/>
      <c r="D27" s="19"/>
      <c r="E27" s="13"/>
      <c r="F27" s="19"/>
      <c r="G27" s="17"/>
      <c r="H27" s="17"/>
      <c r="I27" s="10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9"/>
      <c r="G28" s="17"/>
      <c r="H28" s="17"/>
      <c r="I28" s="10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0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5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5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5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5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0</v>
      </c>
      <c r="G41">
        <f>(colorfunction(D55,G6:G40, FALSE)/2)</f>
        <v>0</v>
      </c>
      <c r="H41">
        <f>(colorfunction(D55,H6:H40, FALSE)/2)</f>
        <v>1.5</v>
      </c>
      <c r="I41">
        <f>(colorfunction(D55,I6:I40, FALSE)/2)</f>
        <v>0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11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5.5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18.5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19.5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11</v>
      </c>
      <c r="H49" t="s">
        <v>200</v>
      </c>
    </row>
    <row r="50" spans="2:8" x14ac:dyDescent="0.35">
      <c r="F50" s="56" t="s">
        <v>198</v>
      </c>
      <c r="G50" s="57">
        <f>SUM(E41+M41+Q41+U41+Y41+AC41)</f>
        <v>19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55"/>
  <sheetViews>
    <sheetView zoomScale="40" zoomScaleNormal="40" workbookViewId="0">
      <pane xSplit="1" topLeftCell="D1" activePane="topRight" state="frozen"/>
      <selection pane="topRight" activeCell="X14" sqref="X14:X18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13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107</v>
      </c>
      <c r="C3" s="67"/>
      <c r="D3" s="67"/>
      <c r="E3" s="68"/>
      <c r="F3" s="66" t="s">
        <v>113</v>
      </c>
      <c r="G3" s="67"/>
      <c r="H3" s="67"/>
      <c r="I3" s="68"/>
      <c r="J3" s="75" t="s">
        <v>112</v>
      </c>
      <c r="K3" s="69"/>
      <c r="L3" s="69"/>
      <c r="M3" s="70"/>
      <c r="N3" s="66" t="s">
        <v>111</v>
      </c>
      <c r="O3" s="67"/>
      <c r="P3" s="67"/>
      <c r="Q3" s="68"/>
      <c r="R3" s="77" t="s">
        <v>110</v>
      </c>
      <c r="S3" s="77"/>
      <c r="T3" s="77"/>
      <c r="U3" s="78"/>
      <c r="V3" s="66" t="s">
        <v>109</v>
      </c>
      <c r="W3" s="67"/>
      <c r="X3" s="67"/>
      <c r="Y3" s="68"/>
      <c r="Z3" s="69" t="s">
        <v>108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5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21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21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21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21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21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21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21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21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21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9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9"/>
      <c r="T20" s="19"/>
      <c r="U20" s="13"/>
      <c r="V20" s="17"/>
      <c r="W20" s="21"/>
      <c r="X20" s="17"/>
      <c r="Y20" s="15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5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21"/>
      <c r="Q22" s="10"/>
      <c r="R22" s="19"/>
      <c r="S22" s="21"/>
      <c r="T22" s="19"/>
      <c r="U22" s="13"/>
      <c r="V22" s="17"/>
      <c r="W22" s="17"/>
      <c r="X22" s="17"/>
      <c r="Y22" s="15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21"/>
      <c r="Q23" s="10"/>
      <c r="R23" s="19"/>
      <c r="S23" s="21"/>
      <c r="T23" s="19"/>
      <c r="U23" s="13"/>
      <c r="V23" s="17"/>
      <c r="W23" s="17"/>
      <c r="X23" s="17"/>
      <c r="Y23" s="15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9"/>
      <c r="U24" s="13"/>
      <c r="V24" s="17"/>
      <c r="W24" s="17"/>
      <c r="X24" s="17"/>
      <c r="Y24" s="15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5"/>
      <c r="V25" s="17"/>
      <c r="W25" s="17"/>
      <c r="X25" s="17"/>
      <c r="Y25" s="15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21"/>
      <c r="U26" s="15"/>
      <c r="V26" s="17"/>
      <c r="W26" s="17"/>
      <c r="X26" s="17"/>
      <c r="Y26" s="15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5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21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5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21"/>
      <c r="I29" s="15"/>
      <c r="J29" s="21"/>
      <c r="K29" s="21"/>
      <c r="L29" s="21"/>
      <c r="M29" s="15"/>
      <c r="N29" s="17"/>
      <c r="O29" s="17"/>
      <c r="P29" s="21"/>
      <c r="Q29" s="15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21"/>
      <c r="I30" s="10"/>
      <c r="J30" s="21"/>
      <c r="K30" s="21"/>
      <c r="L30" s="21"/>
      <c r="M30" s="15"/>
      <c r="N30" s="17"/>
      <c r="O30" s="17"/>
      <c r="P30" s="21"/>
      <c r="Q30" s="15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21"/>
      <c r="I31" s="10"/>
      <c r="J31" s="21"/>
      <c r="K31" s="21"/>
      <c r="L31" s="21"/>
      <c r="M31" s="15"/>
      <c r="N31" s="17"/>
      <c r="O31" s="17"/>
      <c r="P31" s="17"/>
      <c r="Q31" s="15"/>
      <c r="R31" s="17"/>
      <c r="S31" s="17"/>
      <c r="T31" s="17"/>
      <c r="U31" s="15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5"/>
      <c r="R32" s="17"/>
      <c r="S32" s="17"/>
      <c r="T32" s="17"/>
      <c r="U32" s="15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5"/>
      <c r="R33" s="17"/>
      <c r="S33" s="17"/>
      <c r="T33" s="17"/>
      <c r="U33" s="15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5"/>
      <c r="R34" s="17"/>
      <c r="S34" s="17"/>
      <c r="T34" s="17"/>
      <c r="U34" s="15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5"/>
      <c r="N35" s="17"/>
      <c r="O35" s="17"/>
      <c r="P35" s="17"/>
      <c r="Q35" s="15"/>
      <c r="R35" s="17"/>
      <c r="S35" s="17"/>
      <c r="T35" s="17"/>
      <c r="U35" s="15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5"/>
      <c r="N36" s="17"/>
      <c r="O36" s="17"/>
      <c r="P36" s="17"/>
      <c r="Q36" s="15"/>
      <c r="R36" s="17"/>
      <c r="S36" s="17"/>
      <c r="T36" s="17"/>
      <c r="U36" s="15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5"/>
      <c r="N37" s="17"/>
      <c r="O37" s="17"/>
      <c r="P37" s="17"/>
      <c r="Q37" s="15"/>
      <c r="R37" s="17"/>
      <c r="S37" s="17"/>
      <c r="T37" s="17"/>
      <c r="U37" s="15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5"/>
      <c r="N38" s="17"/>
      <c r="O38" s="17"/>
      <c r="P38" s="17"/>
      <c r="Q38" s="15"/>
      <c r="R38" s="17"/>
      <c r="S38" s="17"/>
      <c r="T38" s="17"/>
      <c r="U38" s="15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5"/>
      <c r="N39" s="17"/>
      <c r="O39" s="17"/>
      <c r="P39" s="17"/>
      <c r="Q39" s="15"/>
      <c r="R39" s="17"/>
      <c r="S39" s="17"/>
      <c r="T39" s="17"/>
      <c r="U39" s="15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12.5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2</v>
      </c>
      <c r="Q41">
        <f>(colorfunction(D55,Q6:Q40,FALSE)/2)</f>
        <v>5.5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7.5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2.5</v>
      </c>
      <c r="Y41">
        <f>(colorfunction(D55,Y6:Y40, FALSE)/2)</f>
        <v>10.5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15</v>
      </c>
      <c r="H49" t="s">
        <v>200</v>
      </c>
    </row>
    <row r="50" spans="2:8" x14ac:dyDescent="0.35">
      <c r="F50" s="56" t="s">
        <v>198</v>
      </c>
      <c r="G50" s="57">
        <f>SUM(E41+M41+Q41+U41+Y41+AC41)</f>
        <v>38.5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55"/>
  <sheetViews>
    <sheetView zoomScale="40" zoomScaleNormal="40" workbookViewId="0">
      <pane xSplit="1" topLeftCell="D1" activePane="topRight" state="frozen"/>
      <selection pane="topRight" activeCell="T27" sqref="T27:T34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14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114</v>
      </c>
      <c r="C3" s="67"/>
      <c r="D3" s="67"/>
      <c r="E3" s="68"/>
      <c r="F3" s="66" t="s">
        <v>115</v>
      </c>
      <c r="G3" s="67"/>
      <c r="H3" s="67"/>
      <c r="I3" s="68"/>
      <c r="J3" s="75" t="s">
        <v>116</v>
      </c>
      <c r="K3" s="69"/>
      <c r="L3" s="69"/>
      <c r="M3" s="70"/>
      <c r="N3" s="66" t="s">
        <v>117</v>
      </c>
      <c r="O3" s="67"/>
      <c r="P3" s="67"/>
      <c r="Q3" s="68"/>
      <c r="R3" s="77" t="s">
        <v>118</v>
      </c>
      <c r="S3" s="77"/>
      <c r="T3" s="77"/>
      <c r="U3" s="78"/>
      <c r="V3" s="66" t="s">
        <v>119</v>
      </c>
      <c r="W3" s="67"/>
      <c r="X3" s="67"/>
      <c r="Y3" s="68"/>
      <c r="Z3" s="69" t="s">
        <v>120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21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9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21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9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21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9"/>
      <c r="Y8" s="15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21"/>
      <c r="M9" s="10"/>
      <c r="N9" s="17"/>
      <c r="O9" s="17"/>
      <c r="P9" s="21"/>
      <c r="Q9" s="10"/>
      <c r="R9" s="17"/>
      <c r="S9" s="17"/>
      <c r="T9" s="17"/>
      <c r="U9" s="10"/>
      <c r="V9" s="17"/>
      <c r="W9" s="17"/>
      <c r="X9" s="19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21"/>
      <c r="M10" s="10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9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21"/>
      <c r="M11" s="10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9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0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9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0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9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0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9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0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9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0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9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21"/>
      <c r="E17" s="12"/>
      <c r="F17" s="17"/>
      <c r="G17" s="17"/>
      <c r="H17" s="17"/>
      <c r="I17" s="10"/>
      <c r="J17" s="17"/>
      <c r="K17" s="21"/>
      <c r="L17" s="17"/>
      <c r="M17" s="10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9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5"/>
      <c r="F18" s="17"/>
      <c r="G18" s="17"/>
      <c r="H18" s="17"/>
      <c r="I18" s="10"/>
      <c r="J18" s="17"/>
      <c r="K18" s="21"/>
      <c r="L18" s="17"/>
      <c r="M18" s="10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9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5"/>
      <c r="F19" s="19"/>
      <c r="G19" s="19"/>
      <c r="H19" s="19"/>
      <c r="I19" s="13"/>
      <c r="J19" s="17"/>
      <c r="K19" s="21"/>
      <c r="L19" s="17"/>
      <c r="M19" s="10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9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9"/>
      <c r="Y20" s="15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21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21"/>
      <c r="I23" s="10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21"/>
      <c r="I24" s="10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0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0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21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0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9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0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9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0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9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9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9"/>
      <c r="U31" s="15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9"/>
      <c r="U32" s="15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9"/>
      <c r="U33" s="15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9"/>
      <c r="U34" s="15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1.5</v>
      </c>
      <c r="E41">
        <f>(colorfunction(D55,E6:E40,FALSE)/2)</f>
        <v>3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0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7.5</v>
      </c>
      <c r="M41">
        <f>(colorfunction(D55,M6:M40, FALSE)/2)</f>
        <v>4.5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0.5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1.5</v>
      </c>
      <c r="U41">
        <f>(colorfunction(D55,U6:U40, FALSE)/2)</f>
        <v>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6.5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12.5</v>
      </c>
      <c r="H49" t="s">
        <v>200</v>
      </c>
    </row>
    <row r="50" spans="2:8" x14ac:dyDescent="0.35">
      <c r="F50" s="56" t="s">
        <v>198</v>
      </c>
      <c r="G50" s="57">
        <f>SUM(E41+M41+Q41+U41+Y41+AC41)</f>
        <v>19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55"/>
  <sheetViews>
    <sheetView zoomScale="40" zoomScaleNormal="40" workbookViewId="0">
      <pane xSplit="1" topLeftCell="B1" activePane="topRight" state="frozen"/>
      <selection pane="topRight" activeCell="D17" sqref="D17:D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15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121</v>
      </c>
      <c r="C3" s="67"/>
      <c r="D3" s="67"/>
      <c r="E3" s="68"/>
      <c r="F3" s="66" t="s">
        <v>122</v>
      </c>
      <c r="G3" s="67"/>
      <c r="H3" s="67"/>
      <c r="I3" s="68"/>
      <c r="J3" s="75" t="s">
        <v>123</v>
      </c>
      <c r="K3" s="69"/>
      <c r="L3" s="69"/>
      <c r="M3" s="70"/>
      <c r="N3" s="66" t="s">
        <v>124</v>
      </c>
      <c r="O3" s="67"/>
      <c r="P3" s="67"/>
      <c r="Q3" s="68"/>
      <c r="R3" s="77" t="s">
        <v>125</v>
      </c>
      <c r="S3" s="77"/>
      <c r="T3" s="77"/>
      <c r="U3" s="78"/>
      <c r="V3" s="66" t="s">
        <v>126</v>
      </c>
      <c r="W3" s="67"/>
      <c r="X3" s="67"/>
      <c r="Y3" s="68"/>
      <c r="Z3" s="69" t="s">
        <v>127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21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21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21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21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9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9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9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9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9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9"/>
      <c r="E22" s="15"/>
      <c r="F22" s="21"/>
      <c r="G22" s="21"/>
      <c r="H22" s="21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9"/>
      <c r="E23" s="15"/>
      <c r="F23" s="21"/>
      <c r="G23" s="21"/>
      <c r="H23" s="21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21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0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5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5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5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5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5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3.5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2.5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8</v>
      </c>
      <c r="H49" t="s">
        <v>200</v>
      </c>
    </row>
    <row r="50" spans="2:8" x14ac:dyDescent="0.35">
      <c r="F50" s="56" t="s">
        <v>198</v>
      </c>
      <c r="G50" s="57">
        <f>SUM(E41+M41+Q41+U41+Y41+AC41)</f>
        <v>22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55"/>
  <sheetViews>
    <sheetView zoomScale="40" zoomScaleNormal="40" workbookViewId="0">
      <pane xSplit="1" topLeftCell="D1" activePane="topRight" state="frozen"/>
      <selection pane="topRight" activeCell="X6" sqref="X6:X1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16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128</v>
      </c>
      <c r="C3" s="67"/>
      <c r="D3" s="67"/>
      <c r="E3" s="68"/>
      <c r="F3" s="66" t="s">
        <v>129</v>
      </c>
      <c r="G3" s="67"/>
      <c r="H3" s="67"/>
      <c r="I3" s="68"/>
      <c r="J3" s="75" t="s">
        <v>130</v>
      </c>
      <c r="K3" s="69"/>
      <c r="L3" s="69"/>
      <c r="M3" s="70"/>
      <c r="N3" s="66" t="s">
        <v>131</v>
      </c>
      <c r="O3" s="67"/>
      <c r="P3" s="67"/>
      <c r="Q3" s="68"/>
      <c r="R3" s="77" t="s">
        <v>132</v>
      </c>
      <c r="S3" s="77"/>
      <c r="T3" s="77"/>
      <c r="U3" s="78"/>
      <c r="V3" s="66" t="s">
        <v>133</v>
      </c>
      <c r="W3" s="67"/>
      <c r="X3" s="67"/>
      <c r="Y3" s="68"/>
      <c r="Z3" s="69" t="s">
        <v>134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3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5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3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5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3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5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3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3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3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3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3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3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3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3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3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3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3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3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3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3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3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3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5"/>
      <c r="E18" s="12"/>
      <c r="F18" s="17"/>
      <c r="G18" s="17"/>
      <c r="H18" s="17"/>
      <c r="I18" s="10"/>
      <c r="J18" s="17"/>
      <c r="K18" s="21"/>
      <c r="L18" s="13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5"/>
      <c r="E19" s="15"/>
      <c r="F19" s="19"/>
      <c r="G19" s="19"/>
      <c r="H19" s="19"/>
      <c r="I19" s="13"/>
      <c r="J19" s="17"/>
      <c r="K19" s="21"/>
      <c r="L19" s="13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3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5"/>
      <c r="I22" s="10"/>
      <c r="J22" s="19"/>
      <c r="K22" s="19"/>
      <c r="L22" s="19"/>
      <c r="M22" s="13"/>
      <c r="N22" s="21"/>
      <c r="O22" s="21"/>
      <c r="P22" s="21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5"/>
      <c r="I23" s="15"/>
      <c r="J23" s="19"/>
      <c r="K23" s="19"/>
      <c r="L23" s="19"/>
      <c r="M23" s="13"/>
      <c r="N23" s="21"/>
      <c r="O23" s="21"/>
      <c r="P23" s="21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5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5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0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6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2.5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11</v>
      </c>
      <c r="H49" t="s">
        <v>200</v>
      </c>
    </row>
    <row r="50" spans="2:8" x14ac:dyDescent="0.35">
      <c r="F50" s="56" t="s">
        <v>198</v>
      </c>
      <c r="G50" s="57">
        <f>SUM(E41+M41+Q41+U41+Y41+AC41)</f>
        <v>19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55"/>
  <sheetViews>
    <sheetView zoomScale="40" zoomScaleNormal="40" workbookViewId="0">
      <pane xSplit="1" topLeftCell="D1" activePane="topRight" state="frozen"/>
      <selection pane="topRight" activeCell="T25" sqref="T25:T2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17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135</v>
      </c>
      <c r="C3" s="67"/>
      <c r="D3" s="67"/>
      <c r="E3" s="68"/>
      <c r="F3" s="66" t="s">
        <v>136</v>
      </c>
      <c r="G3" s="67"/>
      <c r="H3" s="67"/>
      <c r="I3" s="68"/>
      <c r="J3" s="75" t="s">
        <v>137</v>
      </c>
      <c r="K3" s="69"/>
      <c r="L3" s="69"/>
      <c r="M3" s="70"/>
      <c r="N3" s="66" t="s">
        <v>138</v>
      </c>
      <c r="O3" s="67"/>
      <c r="P3" s="67"/>
      <c r="Q3" s="68"/>
      <c r="R3" s="77" t="s">
        <v>139</v>
      </c>
      <c r="S3" s="77"/>
      <c r="T3" s="77"/>
      <c r="U3" s="78"/>
      <c r="V3" s="66" t="s">
        <v>140</v>
      </c>
      <c r="W3" s="67"/>
      <c r="X3" s="67"/>
      <c r="Y3" s="68"/>
      <c r="Z3" s="69" t="s">
        <v>141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5"/>
      <c r="M9" s="12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3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3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3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3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3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3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3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9"/>
      <c r="E17" s="12"/>
      <c r="F17" s="17"/>
      <c r="G17" s="17"/>
      <c r="H17" s="17"/>
      <c r="I17" s="10"/>
      <c r="J17" s="17"/>
      <c r="K17" s="21"/>
      <c r="L17" s="13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9"/>
      <c r="E18" s="12"/>
      <c r="F18" s="17"/>
      <c r="G18" s="17"/>
      <c r="H18" s="17"/>
      <c r="I18" s="10"/>
      <c r="J18" s="17"/>
      <c r="K18" s="21"/>
      <c r="L18" s="13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9"/>
      <c r="E19" s="15"/>
      <c r="F19" s="19"/>
      <c r="G19" s="19"/>
      <c r="H19" s="19"/>
      <c r="I19" s="13"/>
      <c r="J19" s="17"/>
      <c r="K19" s="21"/>
      <c r="L19" s="13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9"/>
      <c r="E20" s="15"/>
      <c r="F20" s="19"/>
      <c r="G20" s="19"/>
      <c r="H20" s="19"/>
      <c r="I20" s="13"/>
      <c r="J20" s="18"/>
      <c r="K20" s="21"/>
      <c r="L20" s="13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9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9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21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9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21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21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21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21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21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5</v>
      </c>
      <c r="M41">
        <f>(colorfunction(D55,M6:M40, FALSE)/2)</f>
        <v>9.5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1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1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8.5</v>
      </c>
      <c r="H49" t="s">
        <v>200</v>
      </c>
    </row>
    <row r="50" spans="2:8" x14ac:dyDescent="0.35">
      <c r="F50" s="56" t="s">
        <v>198</v>
      </c>
      <c r="G50" s="57">
        <f>SUM(E41+M41+Q41+U41+Y41+AC41)</f>
        <v>15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55"/>
  <sheetViews>
    <sheetView zoomScale="40" zoomScaleNormal="40" workbookViewId="0">
      <pane xSplit="1" topLeftCell="D1" activePane="topRight" state="frozen"/>
      <selection pane="topRight" activeCell="P22" sqref="P22:P23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18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151</v>
      </c>
      <c r="C3" s="67"/>
      <c r="D3" s="67"/>
      <c r="E3" s="68"/>
      <c r="F3" s="66" t="s">
        <v>152</v>
      </c>
      <c r="G3" s="67"/>
      <c r="H3" s="67"/>
      <c r="I3" s="68"/>
      <c r="J3" s="75" t="s">
        <v>153</v>
      </c>
      <c r="K3" s="69"/>
      <c r="L3" s="69"/>
      <c r="M3" s="70"/>
      <c r="N3" s="66" t="s">
        <v>154</v>
      </c>
      <c r="O3" s="67"/>
      <c r="P3" s="67"/>
      <c r="Q3" s="68"/>
      <c r="R3" s="77" t="s">
        <v>155</v>
      </c>
      <c r="S3" s="77"/>
      <c r="T3" s="77"/>
      <c r="U3" s="78"/>
      <c r="V3" s="66" t="s">
        <v>156</v>
      </c>
      <c r="W3" s="67"/>
      <c r="X3" s="67"/>
      <c r="Y3" s="68"/>
      <c r="Z3" s="69" t="s">
        <v>157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9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9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7"/>
      <c r="S19" s="17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9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7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9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7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5"/>
      <c r="E22" s="15"/>
      <c r="F22" s="17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7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5"/>
      <c r="E23" s="15"/>
      <c r="F23" s="17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7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17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17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18"/>
      <c r="G26" s="21"/>
      <c r="H26" s="21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18"/>
      <c r="G27" s="21"/>
      <c r="H27" s="21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8"/>
      <c r="G28" s="21"/>
      <c r="H28" s="21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1</v>
      </c>
      <c r="E41">
        <f>(colorfunction(D55,E6:E40,FALSE)/2)</f>
        <v>2.5</v>
      </c>
      <c r="F41">
        <f>(colorfunction(D55,F6:F40, FALSE)/2)</f>
        <v>0</v>
      </c>
      <c r="G41">
        <f>(colorfunction(D55,G6:G40, FALSE)/2)</f>
        <v>3.5</v>
      </c>
      <c r="H41">
        <f>(colorfunction(D55,H6:H40, FALSE)/2)</f>
        <v>1.5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18.5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7</v>
      </c>
      <c r="H49" t="s">
        <v>200</v>
      </c>
    </row>
    <row r="50" spans="2:8" x14ac:dyDescent="0.35">
      <c r="F50" s="56" t="s">
        <v>198</v>
      </c>
      <c r="G50" s="57">
        <f>SUM(E41+M41+Q41+U41+Y41+AC41)</f>
        <v>20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55"/>
  <sheetViews>
    <sheetView zoomScale="55" zoomScaleNormal="55" workbookViewId="0">
      <pane xSplit="1" topLeftCell="J1" activePane="topRight" state="frozen"/>
      <selection pane="topRight" activeCell="V29" sqref="V29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19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144</v>
      </c>
      <c r="C3" s="67"/>
      <c r="D3" s="67"/>
      <c r="E3" s="68"/>
      <c r="F3" s="66" t="s">
        <v>145</v>
      </c>
      <c r="G3" s="67"/>
      <c r="H3" s="67"/>
      <c r="I3" s="68"/>
      <c r="J3" s="75" t="s">
        <v>146</v>
      </c>
      <c r="K3" s="69"/>
      <c r="L3" s="69"/>
      <c r="M3" s="70"/>
      <c r="N3" s="66" t="s">
        <v>147</v>
      </c>
      <c r="O3" s="67"/>
      <c r="P3" s="67"/>
      <c r="Q3" s="68"/>
      <c r="R3" s="77" t="s">
        <v>148</v>
      </c>
      <c r="S3" s="77"/>
      <c r="T3" s="77"/>
      <c r="U3" s="78"/>
      <c r="V3" s="66" t="s">
        <v>149</v>
      </c>
      <c r="W3" s="67"/>
      <c r="X3" s="67"/>
      <c r="Y3" s="68"/>
      <c r="Z3" s="69" t="s">
        <v>150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21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21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21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21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21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4.5</v>
      </c>
      <c r="H49" t="s">
        <v>200</v>
      </c>
    </row>
    <row r="50" spans="2:8" x14ac:dyDescent="0.35">
      <c r="F50" s="56" t="s">
        <v>198</v>
      </c>
      <c r="G50" s="57">
        <f>SUM(E41+M41+Q41+U41+Y41+AC41)</f>
        <v>20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55"/>
  <sheetViews>
    <sheetView zoomScale="50" zoomScaleNormal="50" workbookViewId="0">
      <pane xSplit="1" topLeftCell="J1" activePane="topRight" state="frozen"/>
      <selection pane="topRight" activeCell="V12" sqref="V12:V1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20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158</v>
      </c>
      <c r="C3" s="67"/>
      <c r="D3" s="67"/>
      <c r="E3" s="68"/>
      <c r="F3" s="66" t="s">
        <v>159</v>
      </c>
      <c r="G3" s="67"/>
      <c r="H3" s="67"/>
      <c r="I3" s="68"/>
      <c r="J3" s="75" t="s">
        <v>160</v>
      </c>
      <c r="K3" s="69"/>
      <c r="L3" s="69"/>
      <c r="M3" s="70"/>
      <c r="N3" s="66" t="s">
        <v>161</v>
      </c>
      <c r="O3" s="67"/>
      <c r="P3" s="67"/>
      <c r="Q3" s="68"/>
      <c r="R3" s="77" t="s">
        <v>162</v>
      </c>
      <c r="S3" s="77"/>
      <c r="T3" s="77"/>
      <c r="U3" s="78"/>
      <c r="V3" s="66" t="s">
        <v>163</v>
      </c>
      <c r="W3" s="67"/>
      <c r="X3" s="67"/>
      <c r="Y3" s="68"/>
      <c r="Z3" s="69" t="s">
        <v>164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5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17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17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17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17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17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5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0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3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0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19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4.5</v>
      </c>
      <c r="H49" t="s">
        <v>200</v>
      </c>
    </row>
    <row r="50" spans="2:8" x14ac:dyDescent="0.35">
      <c r="F50" s="56" t="s">
        <v>198</v>
      </c>
      <c r="G50" s="57">
        <f>SUM(E41+M41+Q41+U41+Y41+AC41)</f>
        <v>16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B2:E2"/>
    <mergeCell ref="B3:E3"/>
    <mergeCell ref="F3:I3"/>
    <mergeCell ref="J3:M3"/>
    <mergeCell ref="N3:Q3"/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</mergeCells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55"/>
  <sheetViews>
    <sheetView tabSelected="1" zoomScale="50" zoomScaleNormal="50" workbookViewId="0">
      <pane xSplit="1" topLeftCell="I1" activePane="topRight" state="frozen"/>
      <selection pane="topRight" activeCell="N15" sqref="N15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21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165</v>
      </c>
      <c r="C3" s="67"/>
      <c r="D3" s="67"/>
      <c r="E3" s="68"/>
      <c r="F3" s="66" t="s">
        <v>166</v>
      </c>
      <c r="G3" s="67"/>
      <c r="H3" s="67"/>
      <c r="I3" s="68"/>
      <c r="J3" s="75" t="s">
        <v>167</v>
      </c>
      <c r="K3" s="69"/>
      <c r="L3" s="69"/>
      <c r="M3" s="70"/>
      <c r="N3" s="66" t="s">
        <v>168</v>
      </c>
      <c r="O3" s="67"/>
      <c r="P3" s="67"/>
      <c r="Q3" s="68"/>
      <c r="R3" s="77" t="s">
        <v>169</v>
      </c>
      <c r="S3" s="77"/>
      <c r="T3" s="77"/>
      <c r="U3" s="78"/>
      <c r="V3" s="66" t="s">
        <v>170</v>
      </c>
      <c r="W3" s="67"/>
      <c r="X3" s="67"/>
      <c r="Y3" s="68"/>
      <c r="Z3" s="69" t="s">
        <v>171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8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8"/>
      <c r="G7" s="18"/>
      <c r="H7" s="17"/>
      <c r="I7" s="12"/>
      <c r="J7" s="17"/>
      <c r="K7" s="17"/>
      <c r="L7" s="17"/>
      <c r="M7" s="10"/>
      <c r="N7" s="17"/>
      <c r="O7" s="17"/>
      <c r="P7" s="17"/>
      <c r="Q7" s="10"/>
      <c r="R7" s="17"/>
      <c r="S7" s="18"/>
      <c r="T7" s="18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8"/>
      <c r="G8" s="18"/>
      <c r="H8" s="18"/>
      <c r="I8" s="15"/>
      <c r="J8" s="17"/>
      <c r="K8" s="17"/>
      <c r="L8" s="17"/>
      <c r="M8" s="10"/>
      <c r="N8" s="18"/>
      <c r="O8" s="18"/>
      <c r="P8" s="18"/>
      <c r="Q8" s="12"/>
      <c r="R8" s="18"/>
      <c r="S8" s="18"/>
      <c r="T8" s="18"/>
      <c r="U8" s="12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2"/>
      <c r="C9" s="18"/>
      <c r="D9" s="18"/>
      <c r="E9" s="12"/>
      <c r="F9" s="18"/>
      <c r="G9" s="18"/>
      <c r="H9" s="18"/>
      <c r="I9" s="15"/>
      <c r="J9" s="17"/>
      <c r="K9" s="17"/>
      <c r="L9" s="17"/>
      <c r="M9" s="15"/>
      <c r="N9" s="18"/>
      <c r="O9" s="18"/>
      <c r="P9" s="18"/>
      <c r="Q9" s="12"/>
      <c r="R9" s="18"/>
      <c r="S9" s="18"/>
      <c r="T9" s="18"/>
      <c r="U9" s="12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2"/>
      <c r="C10" s="18"/>
      <c r="D10" s="18"/>
      <c r="E10" s="12"/>
      <c r="F10" s="18"/>
      <c r="G10" s="18"/>
      <c r="H10" s="18"/>
      <c r="I10" s="15"/>
      <c r="J10" s="17"/>
      <c r="K10" s="21"/>
      <c r="L10" s="17"/>
      <c r="M10" s="15"/>
      <c r="N10" s="18"/>
      <c r="O10" s="18"/>
      <c r="P10" s="18"/>
      <c r="Q10" s="12"/>
      <c r="R10" s="18"/>
      <c r="S10" s="18"/>
      <c r="T10" s="18"/>
      <c r="U10" s="12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2"/>
      <c r="C11" s="18"/>
      <c r="D11" s="18"/>
      <c r="E11" s="12"/>
      <c r="F11" s="18"/>
      <c r="G11" s="18"/>
      <c r="H11" s="18"/>
      <c r="I11" s="15"/>
      <c r="J11" s="17"/>
      <c r="K11" s="21"/>
      <c r="L11" s="17"/>
      <c r="M11" s="15"/>
      <c r="N11" s="18"/>
      <c r="O11" s="18"/>
      <c r="P11" s="18"/>
      <c r="Q11" s="12"/>
      <c r="R11" s="18"/>
      <c r="S11" s="18"/>
      <c r="T11" s="18"/>
      <c r="U11" s="12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2"/>
      <c r="C12" s="18"/>
      <c r="D12" s="18"/>
      <c r="E12" s="12"/>
      <c r="F12" s="18"/>
      <c r="G12" s="18"/>
      <c r="H12" s="18"/>
      <c r="I12" s="15"/>
      <c r="J12" s="17"/>
      <c r="K12" s="21"/>
      <c r="L12" s="17"/>
      <c r="M12" s="15"/>
      <c r="N12" s="18"/>
      <c r="O12" s="18"/>
      <c r="P12" s="18"/>
      <c r="Q12" s="12"/>
      <c r="R12" s="18"/>
      <c r="S12" s="18"/>
      <c r="T12" s="18"/>
      <c r="U12" s="12"/>
      <c r="V12" s="15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2"/>
      <c r="C13" s="18"/>
      <c r="D13" s="18"/>
      <c r="E13" s="12"/>
      <c r="F13" s="18"/>
      <c r="G13" s="18"/>
      <c r="H13" s="18"/>
      <c r="I13" s="15"/>
      <c r="J13" s="18"/>
      <c r="K13" s="21"/>
      <c r="L13" s="17"/>
      <c r="M13" s="15"/>
      <c r="N13" s="18"/>
      <c r="O13" s="18"/>
      <c r="P13" s="18"/>
      <c r="Q13" s="12"/>
      <c r="R13" s="18"/>
      <c r="S13" s="18"/>
      <c r="T13" s="18"/>
      <c r="U13" s="12"/>
      <c r="V13" s="15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2"/>
      <c r="C14" s="18"/>
      <c r="D14" s="18"/>
      <c r="E14" s="12"/>
      <c r="F14" s="18"/>
      <c r="G14" s="18"/>
      <c r="H14" s="18"/>
      <c r="I14" s="15"/>
      <c r="J14" s="18"/>
      <c r="K14" s="21"/>
      <c r="L14" s="17"/>
      <c r="M14" s="15"/>
      <c r="N14" s="18"/>
      <c r="O14" s="18"/>
      <c r="P14" s="18"/>
      <c r="Q14" s="12"/>
      <c r="R14" s="18"/>
      <c r="S14" s="18"/>
      <c r="T14" s="18"/>
      <c r="U14" s="12"/>
      <c r="V14" s="15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2"/>
      <c r="C15" s="18"/>
      <c r="D15" s="18"/>
      <c r="E15" s="12"/>
      <c r="F15" s="18"/>
      <c r="G15" s="18"/>
      <c r="H15" s="18"/>
      <c r="I15" s="15"/>
      <c r="J15" s="18"/>
      <c r="K15" s="21"/>
      <c r="L15" s="17"/>
      <c r="M15" s="15"/>
      <c r="N15" s="18"/>
      <c r="O15" s="18"/>
      <c r="P15" s="18"/>
      <c r="Q15" s="12"/>
      <c r="R15" s="18"/>
      <c r="S15" s="18"/>
      <c r="T15" s="18"/>
      <c r="U15" s="12"/>
      <c r="V15" s="15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2"/>
      <c r="C16" s="18"/>
      <c r="D16" s="18"/>
      <c r="E16" s="12"/>
      <c r="F16" s="18"/>
      <c r="G16" s="18"/>
      <c r="H16" s="18"/>
      <c r="I16" s="15"/>
      <c r="J16" s="18"/>
      <c r="K16" s="21"/>
      <c r="L16" s="17"/>
      <c r="M16" s="15"/>
      <c r="N16" s="18"/>
      <c r="O16" s="18"/>
      <c r="P16" s="18"/>
      <c r="Q16" s="12"/>
      <c r="R16" s="18"/>
      <c r="S16" s="18"/>
      <c r="T16" s="18"/>
      <c r="U16" s="12"/>
      <c r="V16" s="15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8"/>
      <c r="G17" s="18"/>
      <c r="H17" s="18"/>
      <c r="I17" s="15"/>
      <c r="J17" s="18"/>
      <c r="K17" s="21"/>
      <c r="L17" s="17"/>
      <c r="M17" s="15"/>
      <c r="N17" s="18"/>
      <c r="O17" s="18"/>
      <c r="P17" s="18"/>
      <c r="Q17" s="12"/>
      <c r="R17" s="18"/>
      <c r="S17" s="18"/>
      <c r="T17" s="18"/>
      <c r="U17" s="12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2"/>
      <c r="F18" s="21"/>
      <c r="G18" s="18"/>
      <c r="H18" s="21"/>
      <c r="I18" s="15"/>
      <c r="J18" s="21"/>
      <c r="K18" s="21"/>
      <c r="L18" s="21"/>
      <c r="M18" s="15"/>
      <c r="N18" s="21"/>
      <c r="O18" s="18"/>
      <c r="P18" s="21"/>
      <c r="Q18" s="12"/>
      <c r="R18" s="21"/>
      <c r="S18" s="18"/>
      <c r="T18" s="21"/>
      <c r="U18" s="12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2"/>
      <c r="F19" s="21"/>
      <c r="G19" s="18"/>
      <c r="H19" s="21"/>
      <c r="I19" s="15"/>
      <c r="J19" s="21"/>
      <c r="K19" s="21"/>
      <c r="L19" s="21"/>
      <c r="M19" s="15"/>
      <c r="N19" s="21"/>
      <c r="O19" s="18"/>
      <c r="P19" s="21"/>
      <c r="Q19" s="12"/>
      <c r="R19" s="21"/>
      <c r="S19" s="18"/>
      <c r="T19" s="21"/>
      <c r="U19" s="12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21"/>
      <c r="E20" s="12"/>
      <c r="F20" s="21"/>
      <c r="G20" s="18"/>
      <c r="H20" s="21"/>
      <c r="I20" s="15"/>
      <c r="J20" s="21"/>
      <c r="K20" s="21"/>
      <c r="L20" s="21"/>
      <c r="M20" s="15"/>
      <c r="N20" s="21"/>
      <c r="O20" s="18"/>
      <c r="P20" s="21"/>
      <c r="Q20" s="12"/>
      <c r="R20" s="21"/>
      <c r="S20" s="18"/>
      <c r="T20" s="21"/>
      <c r="U20" s="10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21"/>
      <c r="E21" s="12"/>
      <c r="F21" s="21"/>
      <c r="G21" s="18"/>
      <c r="H21" s="21"/>
      <c r="I21" s="15"/>
      <c r="J21" s="21"/>
      <c r="K21" s="18"/>
      <c r="L21" s="21"/>
      <c r="M21" s="15"/>
      <c r="N21" s="21"/>
      <c r="O21" s="17"/>
      <c r="P21" s="21"/>
      <c r="Q21" s="12"/>
      <c r="R21" s="21"/>
      <c r="S21" s="21"/>
      <c r="T21" s="21"/>
      <c r="U21" s="10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2"/>
      <c r="F22" s="21"/>
      <c r="G22" s="21"/>
      <c r="H22" s="21"/>
      <c r="I22" s="15"/>
      <c r="J22" s="21"/>
      <c r="K22" s="18"/>
      <c r="L22" s="21"/>
      <c r="M22" s="15"/>
      <c r="N22" s="21"/>
      <c r="O22" s="21"/>
      <c r="P22" s="21"/>
      <c r="Q22" s="12"/>
      <c r="R22" s="21"/>
      <c r="S22" s="21"/>
      <c r="T22" s="21"/>
      <c r="U22" s="10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2"/>
      <c r="F23" s="21"/>
      <c r="G23" s="21"/>
      <c r="H23" s="21"/>
      <c r="I23" s="15"/>
      <c r="J23" s="21"/>
      <c r="K23" s="18"/>
      <c r="L23" s="21"/>
      <c r="M23" s="15"/>
      <c r="N23" s="21"/>
      <c r="O23" s="21"/>
      <c r="P23" s="21"/>
      <c r="Q23" s="12"/>
      <c r="R23" s="21"/>
      <c r="S23" s="21"/>
      <c r="T23" s="21"/>
      <c r="U23" s="10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21"/>
      <c r="E24" s="12"/>
      <c r="F24" s="21"/>
      <c r="G24" s="21"/>
      <c r="H24" s="21"/>
      <c r="I24" s="15"/>
      <c r="J24" s="21"/>
      <c r="K24" s="18"/>
      <c r="L24" s="21"/>
      <c r="M24" s="15"/>
      <c r="N24" s="21"/>
      <c r="O24" s="21"/>
      <c r="P24" s="21"/>
      <c r="Q24" s="12"/>
      <c r="R24" s="21"/>
      <c r="S24" s="18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21"/>
      <c r="E25" s="12"/>
      <c r="F25" s="21"/>
      <c r="G25" s="21"/>
      <c r="H25" s="21"/>
      <c r="I25" s="15"/>
      <c r="J25" s="21"/>
      <c r="K25" s="18"/>
      <c r="L25" s="21"/>
      <c r="M25" s="15"/>
      <c r="N25" s="21"/>
      <c r="O25" s="21"/>
      <c r="P25" s="21"/>
      <c r="Q25" s="12"/>
      <c r="R25" s="21"/>
      <c r="S25" s="18"/>
      <c r="T25" s="21"/>
      <c r="U25" s="10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21"/>
      <c r="E26" s="12"/>
      <c r="F26" s="21"/>
      <c r="G26" s="21"/>
      <c r="H26" s="21"/>
      <c r="I26" s="15"/>
      <c r="J26" s="21"/>
      <c r="K26" s="18"/>
      <c r="L26" s="21"/>
      <c r="M26" s="15"/>
      <c r="N26" s="21"/>
      <c r="O26" s="21"/>
      <c r="P26" s="21"/>
      <c r="Q26" s="12"/>
      <c r="R26" s="21"/>
      <c r="S26" s="18"/>
      <c r="T26" s="21"/>
      <c r="U26" s="10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21"/>
      <c r="E27" s="12"/>
      <c r="F27" s="21"/>
      <c r="G27" s="21"/>
      <c r="H27" s="21"/>
      <c r="I27" s="15"/>
      <c r="J27" s="21"/>
      <c r="K27" s="18"/>
      <c r="L27" s="21"/>
      <c r="M27" s="15"/>
      <c r="N27" s="21"/>
      <c r="O27" s="21"/>
      <c r="P27" s="21"/>
      <c r="Q27" s="12"/>
      <c r="R27" s="21"/>
      <c r="S27" s="18"/>
      <c r="T27" s="21"/>
      <c r="U27" s="10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8"/>
      <c r="E28" s="12"/>
      <c r="F28" s="17"/>
      <c r="G28" s="21"/>
      <c r="H28" s="17"/>
      <c r="I28" s="15"/>
      <c r="J28" s="18"/>
      <c r="K28" s="18"/>
      <c r="L28" s="18"/>
      <c r="M28" s="15"/>
      <c r="N28" s="17"/>
      <c r="O28" s="21"/>
      <c r="P28" s="18"/>
      <c r="Q28" s="12"/>
      <c r="R28" s="18"/>
      <c r="S28" s="18"/>
      <c r="T28" s="17"/>
      <c r="U28" s="10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8"/>
      <c r="E29" s="12"/>
      <c r="F29" s="17"/>
      <c r="G29" s="17"/>
      <c r="H29" s="17"/>
      <c r="I29" s="15"/>
      <c r="J29" s="18"/>
      <c r="K29" s="18"/>
      <c r="L29" s="18"/>
      <c r="M29" s="15"/>
      <c r="N29" s="17"/>
      <c r="O29" s="17"/>
      <c r="P29" s="18"/>
      <c r="Q29" s="12"/>
      <c r="R29" s="18"/>
      <c r="S29" s="18"/>
      <c r="T29" s="17"/>
      <c r="U29" s="10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8"/>
      <c r="E30" s="12"/>
      <c r="F30" s="17"/>
      <c r="G30" s="17"/>
      <c r="H30" s="17"/>
      <c r="I30" s="15"/>
      <c r="J30" s="18"/>
      <c r="K30" s="18"/>
      <c r="L30" s="18"/>
      <c r="M30" s="15"/>
      <c r="N30" s="17"/>
      <c r="O30" s="17"/>
      <c r="P30" s="18"/>
      <c r="Q30" s="12"/>
      <c r="R30" s="18"/>
      <c r="S30" s="18"/>
      <c r="T30" s="17"/>
      <c r="U30" s="10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8"/>
      <c r="E31" s="12"/>
      <c r="F31" s="17"/>
      <c r="G31" s="17"/>
      <c r="H31" s="17"/>
      <c r="I31" s="15"/>
      <c r="J31" s="18"/>
      <c r="K31" s="18"/>
      <c r="L31" s="18"/>
      <c r="M31" s="15"/>
      <c r="N31" s="17"/>
      <c r="O31" s="17"/>
      <c r="P31" s="17"/>
      <c r="Q31" s="12"/>
      <c r="R31" s="17"/>
      <c r="S31" s="18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8"/>
      <c r="E32" s="12"/>
      <c r="F32" s="17"/>
      <c r="G32" s="17"/>
      <c r="H32" s="17"/>
      <c r="I32" s="15"/>
      <c r="J32" s="18"/>
      <c r="K32" s="18"/>
      <c r="L32" s="18"/>
      <c r="M32" s="15"/>
      <c r="N32" s="17"/>
      <c r="O32" s="17"/>
      <c r="P32" s="17"/>
      <c r="Q32" s="12"/>
      <c r="R32" s="17"/>
      <c r="S32" s="18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8"/>
      <c r="E33" s="10"/>
      <c r="F33" s="17"/>
      <c r="G33" s="17"/>
      <c r="H33" s="17"/>
      <c r="I33" s="15"/>
      <c r="J33" s="18"/>
      <c r="K33" s="18"/>
      <c r="L33" s="18"/>
      <c r="M33" s="15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8"/>
      <c r="E34" s="10"/>
      <c r="F34" s="17"/>
      <c r="G34" s="17"/>
      <c r="H34" s="17"/>
      <c r="I34" s="10"/>
      <c r="J34" s="18"/>
      <c r="K34" s="18"/>
      <c r="L34" s="17"/>
      <c r="M34" s="12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8"/>
      <c r="E35" s="10"/>
      <c r="F35" s="17"/>
      <c r="G35" s="17"/>
      <c r="H35" s="17"/>
      <c r="I35" s="10"/>
      <c r="J35" s="18"/>
      <c r="K35" s="18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8"/>
      <c r="E36" s="10"/>
      <c r="F36" s="17"/>
      <c r="G36" s="17"/>
      <c r="H36" s="17"/>
      <c r="I36" s="10"/>
      <c r="J36" s="18"/>
      <c r="K36" s="18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8"/>
      <c r="E37" s="10"/>
      <c r="F37" s="17"/>
      <c r="G37" s="17"/>
      <c r="H37" s="17"/>
      <c r="I37" s="10"/>
      <c r="J37" s="17"/>
      <c r="K37" s="18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8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5</v>
      </c>
      <c r="E41">
        <f>(colorfunction(D55,E6:E40,FALSE)/2)</f>
        <v>0</v>
      </c>
      <c r="F41">
        <f>(colorfunction(D55,F6:F40, FALSE)/2)</f>
        <v>5</v>
      </c>
      <c r="G41">
        <f>(colorfunction(D55,G6:G40, FALSE)/2)</f>
        <v>3.5</v>
      </c>
      <c r="H41">
        <f>(colorfunction(D55,H6:H40, FALSE)/2)</f>
        <v>5</v>
      </c>
      <c r="I41">
        <f>(colorfunction(D55,I6:I40, FALSE)/2)</f>
        <v>13</v>
      </c>
      <c r="J41">
        <f>(colorfunction(D55,J6:J40, FALSE)/2)</f>
        <v>5</v>
      </c>
      <c r="K41">
        <f>(colorfunction(D55,K6:K40,FALSE)/2)</f>
        <v>5.5</v>
      </c>
      <c r="L41">
        <f>(colorfunction(D55,L6:L40, FALSE)/2)</f>
        <v>5</v>
      </c>
      <c r="M41">
        <f>(colorfunction(D55,M6:M40, FALSE)/2)</f>
        <v>12.5</v>
      </c>
      <c r="N41">
        <f>(colorfunction(D55,N6:N40, FALSE)/2)</f>
        <v>5</v>
      </c>
      <c r="O41">
        <f>(colorfunction(D55,O6:O40, FALSE)/2)</f>
        <v>3.5</v>
      </c>
      <c r="P41">
        <f>(colorfunction(D55,P6:P40, FALSE)/2)</f>
        <v>5</v>
      </c>
      <c r="Q41">
        <f>(colorfunction(D55,Q6:Q40,FALSE)/2)</f>
        <v>0</v>
      </c>
      <c r="R41">
        <f>(colorfunction(D55,R6:R40, FALSE)/2)</f>
        <v>5</v>
      </c>
      <c r="S41">
        <f>(colorfunction(D55,S6:S40, FALSE)/2)</f>
        <v>1.5</v>
      </c>
      <c r="T41">
        <f>(colorfunction(D55,T6:T40, FALSE)/2)</f>
        <v>5</v>
      </c>
      <c r="U41">
        <f>(colorfunction(D55,U6:U40, FALSE)/2)</f>
        <v>0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27.5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18.5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25</v>
      </c>
      <c r="H49" t="s">
        <v>200</v>
      </c>
    </row>
    <row r="50" spans="2:8" x14ac:dyDescent="0.35">
      <c r="F50" s="56" t="s">
        <v>198</v>
      </c>
      <c r="G50" s="57">
        <f>SUM(E41+M41+Q41+U41+Y41+AC41+I41)</f>
        <v>25.5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55"/>
  <sheetViews>
    <sheetView topLeftCell="A2" zoomScale="50" zoomScaleNormal="50" workbookViewId="0">
      <pane xSplit="1" topLeftCell="H1" activePane="topRight" state="frozen"/>
      <selection pane="topRight" activeCell="V26" sqref="V26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29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172</v>
      </c>
      <c r="C3" s="67"/>
      <c r="D3" s="67"/>
      <c r="E3" s="68"/>
      <c r="F3" s="66" t="s">
        <v>173</v>
      </c>
      <c r="G3" s="67"/>
      <c r="H3" s="67"/>
      <c r="I3" s="68"/>
      <c r="J3" s="69" t="s">
        <v>174</v>
      </c>
      <c r="K3" s="69"/>
      <c r="L3" s="69"/>
      <c r="M3" s="70"/>
      <c r="N3" s="66" t="s">
        <v>175</v>
      </c>
      <c r="O3" s="67"/>
      <c r="P3" s="67"/>
      <c r="Q3" s="68"/>
      <c r="R3" s="69" t="s">
        <v>176</v>
      </c>
      <c r="S3" s="69"/>
      <c r="T3" s="69"/>
      <c r="U3" s="70"/>
      <c r="V3" s="69" t="s">
        <v>177</v>
      </c>
      <c r="W3" s="69"/>
      <c r="X3" s="69"/>
      <c r="Y3" s="70"/>
      <c r="Z3" s="69" t="s">
        <v>178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2"/>
      <c r="J7" s="17"/>
      <c r="K7" s="17"/>
      <c r="L7" s="17"/>
      <c r="M7" s="10"/>
      <c r="N7" s="17"/>
      <c r="O7" s="18"/>
      <c r="P7" s="17"/>
      <c r="Q7" s="10"/>
      <c r="R7" s="17"/>
      <c r="S7" s="18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8"/>
      <c r="G8" s="18"/>
      <c r="H8" s="18"/>
      <c r="I8" s="12"/>
      <c r="J8" s="17"/>
      <c r="K8" s="17"/>
      <c r="L8" s="17"/>
      <c r="M8" s="10"/>
      <c r="N8" s="18"/>
      <c r="O8" s="18"/>
      <c r="P8" s="17"/>
      <c r="Q8" s="10"/>
      <c r="R8" s="18"/>
      <c r="S8" s="18"/>
      <c r="T8" s="18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2"/>
      <c r="C9" s="18"/>
      <c r="D9" s="18"/>
      <c r="E9" s="12"/>
      <c r="F9" s="18"/>
      <c r="G9" s="18"/>
      <c r="H9" s="18"/>
      <c r="I9" s="12"/>
      <c r="J9" s="17"/>
      <c r="K9" s="17"/>
      <c r="L9" s="17"/>
      <c r="M9" s="10"/>
      <c r="N9" s="18"/>
      <c r="O9" s="18"/>
      <c r="P9" s="18"/>
      <c r="Q9" s="12"/>
      <c r="R9" s="18"/>
      <c r="S9" s="18"/>
      <c r="T9" s="18"/>
      <c r="U9" s="12"/>
      <c r="V9" s="17"/>
      <c r="W9" s="17"/>
      <c r="X9" s="17"/>
      <c r="Y9" s="10"/>
      <c r="Z9" s="17"/>
      <c r="AA9" s="17"/>
      <c r="AB9" s="17"/>
      <c r="AC9" s="10"/>
    </row>
    <row r="10" spans="1:31" x14ac:dyDescent="0.35">
      <c r="A10" s="27">
        <v>0.375</v>
      </c>
      <c r="B10" s="12"/>
      <c r="C10" s="18"/>
      <c r="D10" s="18"/>
      <c r="E10" s="12"/>
      <c r="F10" s="18"/>
      <c r="G10" s="18"/>
      <c r="H10" s="18"/>
      <c r="I10" s="12"/>
      <c r="J10" s="17"/>
      <c r="K10" s="21"/>
      <c r="L10" s="17"/>
      <c r="M10" s="10"/>
      <c r="N10" s="18"/>
      <c r="O10" s="18"/>
      <c r="P10" s="18"/>
      <c r="Q10" s="12"/>
      <c r="R10" s="18"/>
      <c r="S10" s="18"/>
      <c r="T10" s="18"/>
      <c r="U10" s="12"/>
      <c r="V10" s="17"/>
      <c r="W10" s="17"/>
      <c r="X10" s="17"/>
      <c r="Y10" s="10"/>
      <c r="Z10" s="17"/>
      <c r="AA10" s="17"/>
      <c r="AB10" s="17"/>
      <c r="AC10" s="10"/>
    </row>
    <row r="11" spans="1:31" x14ac:dyDescent="0.35">
      <c r="A11" s="27">
        <v>0.39583333333333331</v>
      </c>
      <c r="B11" s="12"/>
      <c r="C11" s="18"/>
      <c r="D11" s="18"/>
      <c r="E11" s="12"/>
      <c r="F11" s="18"/>
      <c r="G11" s="18"/>
      <c r="H11" s="18"/>
      <c r="I11" s="15"/>
      <c r="J11" s="17"/>
      <c r="K11" s="21"/>
      <c r="L11" s="17"/>
      <c r="M11" s="15"/>
      <c r="N11" s="18"/>
      <c r="O11" s="18"/>
      <c r="P11" s="18"/>
      <c r="Q11" s="12"/>
      <c r="R11" s="18"/>
      <c r="S11" s="18"/>
      <c r="T11" s="18"/>
      <c r="U11" s="12"/>
      <c r="V11" s="17"/>
      <c r="W11" s="17"/>
      <c r="X11" s="17"/>
      <c r="Y11" s="10"/>
      <c r="Z11" s="17"/>
      <c r="AA11" s="17"/>
      <c r="AB11" s="17"/>
      <c r="AC11" s="10"/>
    </row>
    <row r="12" spans="1:31" x14ac:dyDescent="0.35">
      <c r="A12" s="27">
        <v>0.41666666666666702</v>
      </c>
      <c r="B12" s="12"/>
      <c r="C12" s="18"/>
      <c r="D12" s="18"/>
      <c r="E12" s="12"/>
      <c r="F12" s="18"/>
      <c r="G12" s="18"/>
      <c r="H12" s="18"/>
      <c r="I12" s="15"/>
      <c r="J12" s="17"/>
      <c r="K12" s="21"/>
      <c r="L12" s="17"/>
      <c r="M12" s="15"/>
      <c r="N12" s="18"/>
      <c r="O12" s="18"/>
      <c r="P12" s="18"/>
      <c r="Q12" s="12"/>
      <c r="R12" s="18"/>
      <c r="S12" s="18"/>
      <c r="T12" s="18"/>
      <c r="U12" s="12"/>
      <c r="V12" s="21"/>
      <c r="W12" s="21"/>
      <c r="X12" s="17"/>
      <c r="Y12" s="10"/>
      <c r="Z12" s="17"/>
      <c r="AA12" s="17"/>
      <c r="AB12" s="18"/>
      <c r="AC12" s="10"/>
    </row>
    <row r="13" spans="1:31" x14ac:dyDescent="0.35">
      <c r="A13" s="27">
        <v>0.4375</v>
      </c>
      <c r="B13" s="12"/>
      <c r="C13" s="18"/>
      <c r="D13" s="18"/>
      <c r="E13" s="12"/>
      <c r="F13" s="18"/>
      <c r="G13" s="18"/>
      <c r="H13" s="18"/>
      <c r="I13" s="15"/>
      <c r="J13" s="17"/>
      <c r="K13" s="21"/>
      <c r="L13" s="17"/>
      <c r="M13" s="15"/>
      <c r="N13" s="18"/>
      <c r="O13" s="18"/>
      <c r="P13" s="18"/>
      <c r="Q13" s="12"/>
      <c r="R13" s="18"/>
      <c r="S13" s="18"/>
      <c r="T13" s="18"/>
      <c r="U13" s="12"/>
      <c r="V13" s="21"/>
      <c r="W13" s="21"/>
      <c r="X13" s="17"/>
      <c r="Y13" s="10"/>
      <c r="Z13" s="17"/>
      <c r="AA13" s="17"/>
      <c r="AB13" s="18"/>
      <c r="AC13" s="10"/>
    </row>
    <row r="14" spans="1:31" x14ac:dyDescent="0.35">
      <c r="A14" s="27">
        <v>0.45833333333333398</v>
      </c>
      <c r="B14" s="12"/>
      <c r="C14" s="18"/>
      <c r="D14" s="18"/>
      <c r="E14" s="12"/>
      <c r="F14" s="18"/>
      <c r="G14" s="18"/>
      <c r="H14" s="18"/>
      <c r="I14" s="15"/>
      <c r="J14" s="17"/>
      <c r="K14" s="21"/>
      <c r="L14" s="17"/>
      <c r="M14" s="15"/>
      <c r="N14" s="18"/>
      <c r="O14" s="18"/>
      <c r="P14" s="18"/>
      <c r="Q14" s="12"/>
      <c r="R14" s="18"/>
      <c r="S14" s="18"/>
      <c r="T14" s="18"/>
      <c r="U14" s="12"/>
      <c r="V14" s="21"/>
      <c r="W14" s="21"/>
      <c r="X14" s="17"/>
      <c r="Y14" s="10"/>
      <c r="Z14" s="17"/>
      <c r="AA14" s="17"/>
      <c r="AB14" s="18"/>
      <c r="AC14" s="10"/>
    </row>
    <row r="15" spans="1:31" x14ac:dyDescent="0.35">
      <c r="A15" s="27">
        <v>0.47916666666666702</v>
      </c>
      <c r="B15" s="12"/>
      <c r="C15" s="18"/>
      <c r="D15" s="18"/>
      <c r="E15" s="12"/>
      <c r="F15" s="18"/>
      <c r="G15" s="18"/>
      <c r="H15" s="18"/>
      <c r="I15" s="15"/>
      <c r="J15" s="18"/>
      <c r="K15" s="21"/>
      <c r="L15" s="17"/>
      <c r="M15" s="15"/>
      <c r="N15" s="18"/>
      <c r="O15" s="18"/>
      <c r="P15" s="18"/>
      <c r="Q15" s="12"/>
      <c r="R15" s="18"/>
      <c r="S15" s="18"/>
      <c r="T15" s="18"/>
      <c r="U15" s="12"/>
      <c r="V15" s="21"/>
      <c r="W15" s="21"/>
      <c r="X15" s="17"/>
      <c r="Y15" s="10"/>
      <c r="Z15" s="17"/>
      <c r="AA15" s="17"/>
      <c r="AB15" s="18"/>
      <c r="AC15" s="10"/>
    </row>
    <row r="16" spans="1:31" x14ac:dyDescent="0.35">
      <c r="A16" s="27">
        <v>0.5</v>
      </c>
      <c r="B16" s="12"/>
      <c r="C16" s="18"/>
      <c r="D16" s="18"/>
      <c r="E16" s="12"/>
      <c r="F16" s="18"/>
      <c r="G16" s="18"/>
      <c r="H16" s="18"/>
      <c r="I16" s="15"/>
      <c r="J16" s="18"/>
      <c r="K16" s="21"/>
      <c r="L16" s="17"/>
      <c r="M16" s="15"/>
      <c r="N16" s="18"/>
      <c r="O16" s="18"/>
      <c r="P16" s="18"/>
      <c r="Q16" s="12"/>
      <c r="R16" s="18"/>
      <c r="S16" s="18"/>
      <c r="T16" s="18"/>
      <c r="U16" s="12"/>
      <c r="V16" s="21"/>
      <c r="W16" s="21"/>
      <c r="X16" s="17"/>
      <c r="Y16" s="10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8"/>
      <c r="G17" s="18"/>
      <c r="H17" s="18"/>
      <c r="I17" s="15"/>
      <c r="J17" s="18"/>
      <c r="K17" s="21"/>
      <c r="L17" s="17"/>
      <c r="M17" s="15"/>
      <c r="N17" s="18"/>
      <c r="O17" s="18"/>
      <c r="P17" s="18"/>
      <c r="Q17" s="12"/>
      <c r="R17" s="18"/>
      <c r="S17" s="18"/>
      <c r="T17" s="18"/>
      <c r="U17" s="12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21"/>
      <c r="E18" s="12"/>
      <c r="F18" s="21"/>
      <c r="G18" s="18"/>
      <c r="H18" s="21"/>
      <c r="I18" s="15"/>
      <c r="J18" s="21"/>
      <c r="K18" s="21"/>
      <c r="L18" s="21"/>
      <c r="M18" s="15"/>
      <c r="N18" s="21"/>
      <c r="O18" s="18"/>
      <c r="P18" s="21"/>
      <c r="Q18" s="12"/>
      <c r="R18" s="21"/>
      <c r="S18" s="18"/>
      <c r="T18" s="21"/>
      <c r="U18" s="12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21"/>
      <c r="E19" s="12"/>
      <c r="F19" s="21"/>
      <c r="G19" s="18"/>
      <c r="H19" s="21"/>
      <c r="I19" s="15"/>
      <c r="J19" s="21"/>
      <c r="K19" s="21"/>
      <c r="L19" s="21"/>
      <c r="M19" s="15"/>
      <c r="N19" s="21"/>
      <c r="O19" s="18"/>
      <c r="P19" s="21"/>
      <c r="Q19" s="12"/>
      <c r="R19" s="21"/>
      <c r="S19" s="18"/>
      <c r="T19" s="21"/>
      <c r="U19" s="12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21"/>
      <c r="E20" s="12"/>
      <c r="F20" s="21"/>
      <c r="G20" s="18"/>
      <c r="H20" s="21"/>
      <c r="I20" s="15"/>
      <c r="J20" s="21"/>
      <c r="K20" s="21"/>
      <c r="L20" s="21"/>
      <c r="M20" s="15"/>
      <c r="N20" s="21"/>
      <c r="O20" s="17"/>
      <c r="P20" s="21"/>
      <c r="Q20" s="12"/>
      <c r="R20" s="21"/>
      <c r="S20" s="17"/>
      <c r="T20" s="21"/>
      <c r="U20" s="12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21"/>
      <c r="E21" s="12"/>
      <c r="F21" s="21"/>
      <c r="G21" s="18"/>
      <c r="H21" s="21"/>
      <c r="I21" s="15"/>
      <c r="J21" s="21"/>
      <c r="K21" s="18"/>
      <c r="L21" s="21"/>
      <c r="M21" s="15"/>
      <c r="N21" s="21"/>
      <c r="O21" s="17"/>
      <c r="P21" s="21"/>
      <c r="Q21" s="12"/>
      <c r="R21" s="21"/>
      <c r="S21" s="21"/>
      <c r="T21" s="21"/>
      <c r="U21" s="12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21"/>
      <c r="E22" s="12"/>
      <c r="F22" s="21"/>
      <c r="G22" s="21"/>
      <c r="H22" s="21"/>
      <c r="I22" s="15"/>
      <c r="J22" s="21"/>
      <c r="K22" s="18"/>
      <c r="L22" s="21"/>
      <c r="M22" s="15"/>
      <c r="N22" s="21"/>
      <c r="O22" s="21"/>
      <c r="P22" s="21"/>
      <c r="Q22" s="12"/>
      <c r="R22" s="21"/>
      <c r="S22" s="21"/>
      <c r="T22" s="21"/>
      <c r="U22" s="12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21"/>
      <c r="E23" s="12"/>
      <c r="F23" s="21"/>
      <c r="G23" s="21"/>
      <c r="H23" s="21"/>
      <c r="I23" s="15"/>
      <c r="J23" s="21"/>
      <c r="K23" s="18"/>
      <c r="L23" s="21"/>
      <c r="M23" s="15"/>
      <c r="N23" s="21"/>
      <c r="O23" s="21"/>
      <c r="P23" s="21"/>
      <c r="Q23" s="12"/>
      <c r="R23" s="21"/>
      <c r="S23" s="21"/>
      <c r="T23" s="21"/>
      <c r="U23" s="10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21"/>
      <c r="E24" s="12"/>
      <c r="F24" s="21"/>
      <c r="G24" s="21"/>
      <c r="H24" s="21"/>
      <c r="I24" s="15"/>
      <c r="J24" s="21"/>
      <c r="K24" s="18"/>
      <c r="L24" s="21"/>
      <c r="M24" s="15"/>
      <c r="N24" s="21"/>
      <c r="O24" s="21"/>
      <c r="P24" s="21"/>
      <c r="Q24" s="12"/>
      <c r="R24" s="21"/>
      <c r="S24" s="18"/>
      <c r="T24" s="21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21"/>
      <c r="E25" s="12"/>
      <c r="F25" s="21"/>
      <c r="G25" s="21"/>
      <c r="H25" s="21"/>
      <c r="I25" s="15"/>
      <c r="J25" s="21"/>
      <c r="K25" s="18"/>
      <c r="L25" s="21"/>
      <c r="M25" s="15"/>
      <c r="N25" s="21"/>
      <c r="O25" s="21"/>
      <c r="P25" s="21"/>
      <c r="Q25" s="12"/>
      <c r="R25" s="21"/>
      <c r="S25" s="18"/>
      <c r="T25" s="21"/>
      <c r="U25" s="10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21"/>
      <c r="E26" s="12"/>
      <c r="F26" s="21"/>
      <c r="G26" s="21"/>
      <c r="H26" s="21"/>
      <c r="I26" s="15"/>
      <c r="J26" s="21"/>
      <c r="K26" s="18"/>
      <c r="L26" s="21"/>
      <c r="M26" s="15"/>
      <c r="N26" s="21"/>
      <c r="O26" s="21"/>
      <c r="P26" s="21"/>
      <c r="Q26" s="12"/>
      <c r="R26" s="21"/>
      <c r="S26" s="18"/>
      <c r="T26" s="21"/>
      <c r="U26" s="10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21"/>
      <c r="E27" s="12"/>
      <c r="F27" s="21"/>
      <c r="G27" s="21"/>
      <c r="H27" s="21"/>
      <c r="I27" s="15"/>
      <c r="J27" s="21"/>
      <c r="K27" s="18"/>
      <c r="L27" s="21"/>
      <c r="M27" s="15"/>
      <c r="N27" s="21"/>
      <c r="O27" s="21"/>
      <c r="P27" s="21"/>
      <c r="Q27" s="12"/>
      <c r="R27" s="21"/>
      <c r="S27" s="18"/>
      <c r="T27" s="21"/>
      <c r="U27" s="10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8"/>
      <c r="E28" s="12"/>
      <c r="F28" s="17"/>
      <c r="G28" s="21"/>
      <c r="H28" s="17"/>
      <c r="I28" s="15"/>
      <c r="J28" s="18"/>
      <c r="K28" s="18"/>
      <c r="L28" s="18"/>
      <c r="M28" s="15"/>
      <c r="N28" s="17"/>
      <c r="O28" s="21"/>
      <c r="P28" s="18"/>
      <c r="Q28" s="12"/>
      <c r="R28" s="18"/>
      <c r="S28" s="18"/>
      <c r="T28" s="17"/>
      <c r="U28" s="10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8"/>
      <c r="E29" s="12"/>
      <c r="F29" s="17"/>
      <c r="G29" s="17"/>
      <c r="H29" s="17"/>
      <c r="I29" s="15"/>
      <c r="J29" s="18"/>
      <c r="K29" s="18"/>
      <c r="L29" s="18"/>
      <c r="M29" s="15"/>
      <c r="N29" s="17"/>
      <c r="O29" s="17"/>
      <c r="P29" s="18"/>
      <c r="Q29" s="12"/>
      <c r="R29" s="18"/>
      <c r="S29" s="18"/>
      <c r="T29" s="17"/>
      <c r="U29" s="10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8"/>
      <c r="E30" s="12"/>
      <c r="F30" s="17"/>
      <c r="G30" s="17"/>
      <c r="H30" s="17"/>
      <c r="I30" s="15"/>
      <c r="J30" s="18"/>
      <c r="K30" s="18"/>
      <c r="L30" s="18"/>
      <c r="M30" s="15"/>
      <c r="N30" s="17"/>
      <c r="O30" s="17"/>
      <c r="P30" s="18"/>
      <c r="Q30" s="12"/>
      <c r="R30" s="18"/>
      <c r="S30" s="18"/>
      <c r="T30" s="17"/>
      <c r="U30" s="10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8"/>
      <c r="E31" s="12"/>
      <c r="F31" s="17"/>
      <c r="G31" s="17"/>
      <c r="H31" s="17"/>
      <c r="I31" s="12"/>
      <c r="J31" s="18"/>
      <c r="K31" s="18"/>
      <c r="L31" s="18"/>
      <c r="M31" s="15"/>
      <c r="N31" s="17"/>
      <c r="O31" s="17"/>
      <c r="P31" s="18"/>
      <c r="Q31" s="12"/>
      <c r="R31" s="18"/>
      <c r="S31" s="18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8"/>
      <c r="E32" s="10"/>
      <c r="F32" s="17"/>
      <c r="G32" s="17"/>
      <c r="H32" s="17"/>
      <c r="I32" s="12"/>
      <c r="J32" s="18"/>
      <c r="K32" s="18"/>
      <c r="L32" s="18"/>
      <c r="M32" s="12"/>
      <c r="N32" s="17"/>
      <c r="O32" s="17"/>
      <c r="P32" s="18"/>
      <c r="Q32" s="12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8"/>
      <c r="E33" s="10"/>
      <c r="F33" s="17"/>
      <c r="G33" s="17"/>
      <c r="H33" s="17"/>
      <c r="I33" s="12"/>
      <c r="J33" s="18"/>
      <c r="K33" s="18"/>
      <c r="L33" s="18"/>
      <c r="M33" s="12"/>
      <c r="N33" s="17"/>
      <c r="O33" s="17"/>
      <c r="P33" s="17"/>
      <c r="Q33" s="12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8"/>
      <c r="E34" s="10"/>
      <c r="F34" s="17"/>
      <c r="G34" s="17"/>
      <c r="H34" s="17"/>
      <c r="I34" s="12"/>
      <c r="J34" s="18"/>
      <c r="K34" s="18"/>
      <c r="L34" s="18"/>
      <c r="M34" s="12"/>
      <c r="N34" s="17"/>
      <c r="O34" s="17"/>
      <c r="P34" s="17"/>
      <c r="Q34" s="12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2"/>
      <c r="J35" s="18"/>
      <c r="K35" s="18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2"/>
      <c r="J36" s="17"/>
      <c r="K36" s="18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8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8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5</v>
      </c>
      <c r="E41">
        <f>(colorfunction(D55,E6:E40,FALSE)/2)</f>
        <v>0</v>
      </c>
      <c r="F41">
        <f>(colorfunction(D55,F6:F40, FALSE)/2)</f>
        <v>5</v>
      </c>
      <c r="G41">
        <f>(colorfunction(D55,G6:G40, FALSE)/2)</f>
        <v>3.5</v>
      </c>
      <c r="H41">
        <f>(colorfunction(D55,H6:H40, FALSE)/2)</f>
        <v>5</v>
      </c>
      <c r="I41">
        <f>(colorfunction(D55,I6:I40, FALSE)/2)</f>
        <v>10</v>
      </c>
      <c r="J41">
        <f>(colorfunction(D55,J6:J40, FALSE)/2)</f>
        <v>5</v>
      </c>
      <c r="K41">
        <f>(colorfunction(D55,K6:K40,FALSE)/2)</f>
        <v>5.5</v>
      </c>
      <c r="L41">
        <f>(colorfunction(D55,L6:L40, FALSE)/2)</f>
        <v>5</v>
      </c>
      <c r="M41">
        <f>(colorfunction(D55,M6:M40, FALSE)/2)</f>
        <v>10.5</v>
      </c>
      <c r="N41">
        <f>(colorfunction(D55,N6:N40, FALSE)/2)</f>
        <v>5</v>
      </c>
      <c r="O41">
        <f>(colorfunction(D55,O6:O40, FALSE)/2)</f>
        <v>3.5</v>
      </c>
      <c r="P41">
        <f>(colorfunction(D55,P6:P40, FALSE)/2)</f>
        <v>5</v>
      </c>
      <c r="Q41">
        <f>(colorfunction(D55,Q6:Q40,FALSE)/2)</f>
        <v>0</v>
      </c>
      <c r="R41">
        <f>(colorfunction(D55,R6:R40, FALSE)/2)</f>
        <v>5</v>
      </c>
      <c r="S41">
        <f>(colorfunction(D55,S6:S40, FALSE)/2)</f>
        <v>1.5</v>
      </c>
      <c r="T41">
        <f>(colorfunction(D55,T6:T40, FALSE)/2)</f>
        <v>5</v>
      </c>
      <c r="U41">
        <f>(colorfunction(D55,U6:U40, FALSE)/2)</f>
        <v>0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0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27.5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18.5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25</v>
      </c>
      <c r="H49" t="s">
        <v>200</v>
      </c>
    </row>
    <row r="50" spans="2:8" x14ac:dyDescent="0.35">
      <c r="F50" s="56" t="s">
        <v>198</v>
      </c>
      <c r="G50" s="57">
        <f>SUM(E41+M41+Q41+U41+Y41+AC41+I41)</f>
        <v>20.5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E55"/>
  <sheetViews>
    <sheetView zoomScale="60" zoomScaleNormal="60" workbookViewId="0">
      <pane xSplit="1" topLeftCell="Q1" activePane="topRight" state="frozen"/>
      <selection pane="topRight" activeCell="T27" sqref="T27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31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179</v>
      </c>
      <c r="C3" s="67"/>
      <c r="D3" s="67"/>
      <c r="E3" s="68"/>
      <c r="F3" s="66" t="s">
        <v>180</v>
      </c>
      <c r="G3" s="67"/>
      <c r="H3" s="67"/>
      <c r="I3" s="68"/>
      <c r="J3" s="69" t="s">
        <v>181</v>
      </c>
      <c r="K3" s="69"/>
      <c r="L3" s="69"/>
      <c r="M3" s="70"/>
      <c r="N3" s="66" t="s">
        <v>182</v>
      </c>
      <c r="O3" s="67"/>
      <c r="P3" s="67"/>
      <c r="Q3" s="68"/>
      <c r="R3" s="69" t="s">
        <v>183</v>
      </c>
      <c r="S3" s="69"/>
      <c r="T3" s="69"/>
      <c r="U3" s="70"/>
      <c r="V3" s="69" t="s">
        <v>184</v>
      </c>
      <c r="W3" s="69"/>
      <c r="X3" s="69"/>
      <c r="Y3" s="70"/>
      <c r="Z3" s="69" t="s">
        <v>185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15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15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15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15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15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15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15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15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15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15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15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15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0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0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7"/>
      <c r="S19" s="17"/>
      <c r="T19" s="17"/>
      <c r="U19" s="10"/>
      <c r="V19" s="17"/>
      <c r="W19" s="21"/>
      <c r="X19" s="17"/>
      <c r="Y19" s="10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15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5"/>
      <c r="I23" s="15"/>
      <c r="J23" s="19"/>
      <c r="K23" s="19"/>
      <c r="L23" s="19"/>
      <c r="M23" s="13"/>
      <c r="N23" s="15"/>
      <c r="O23" s="21"/>
      <c r="P23" s="17"/>
      <c r="Q23" s="10"/>
      <c r="R23" s="19"/>
      <c r="S23" s="21"/>
      <c r="T23" s="19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5"/>
      <c r="I24" s="15"/>
      <c r="J24" s="21"/>
      <c r="K24" s="21"/>
      <c r="L24" s="21"/>
      <c r="M24" s="15"/>
      <c r="N24" s="15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5"/>
      <c r="I25" s="15"/>
      <c r="J25" s="21"/>
      <c r="K25" s="21"/>
      <c r="L25" s="21"/>
      <c r="M25" s="15"/>
      <c r="N25" s="15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5"/>
      <c r="I26" s="15"/>
      <c r="J26" s="21"/>
      <c r="K26" s="21"/>
      <c r="L26" s="21"/>
      <c r="M26" s="15"/>
      <c r="N26" s="15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5"/>
      <c r="I27" s="15"/>
      <c r="J27" s="21"/>
      <c r="K27" s="21"/>
      <c r="L27" s="21"/>
      <c r="M27" s="15"/>
      <c r="N27" s="15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2.5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2.5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4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21.5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7</v>
      </c>
      <c r="H49" t="s">
        <v>200</v>
      </c>
    </row>
    <row r="50" spans="2:8" x14ac:dyDescent="0.35">
      <c r="F50" s="56" t="s">
        <v>198</v>
      </c>
      <c r="G50" s="57">
        <f>SUM(E41+M41+Q41+U41+Y41+AC41)</f>
        <v>19.5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55"/>
  <sheetViews>
    <sheetView topLeftCell="A16" zoomScale="55" zoomScaleNormal="55" workbookViewId="0">
      <pane xSplit="1" topLeftCell="B1" activePane="topRight" state="frozen"/>
      <selection pane="topRight" activeCell="L29" sqref="L29"/>
    </sheetView>
  </sheetViews>
  <sheetFormatPr baseColWidth="10" defaultColWidth="9.08984375" defaultRowHeight="14.5" x14ac:dyDescent="0.35"/>
  <cols>
    <col min="1" max="1" width="15.6328125" customWidth="1"/>
    <col min="2" max="2" width="22.54296875" customWidth="1"/>
    <col min="3" max="3" width="13.453125" customWidth="1"/>
    <col min="4" max="4" width="17.6328125" customWidth="1"/>
    <col min="5" max="5" width="15.6328125" customWidth="1"/>
    <col min="6" max="6" width="22.36328125" customWidth="1"/>
    <col min="7" max="7" width="15.36328125" style="2" customWidth="1"/>
    <col min="8" max="8" width="18.453125" customWidth="1"/>
    <col min="9" max="9" width="18.36328125" customWidth="1"/>
    <col min="10" max="10" width="25.54296875" customWidth="1"/>
    <col min="11" max="11" width="18.6328125" style="2" customWidth="1"/>
    <col min="12" max="12" width="16.453125" customWidth="1"/>
    <col min="13" max="13" width="17.36328125" customWidth="1"/>
    <col min="14" max="14" width="26.6328125" customWidth="1"/>
    <col min="15" max="15" width="16.90625" style="2" customWidth="1"/>
    <col min="16" max="16" width="13.90625" customWidth="1"/>
    <col min="17" max="17" width="17.08984375" customWidth="1"/>
    <col min="18" max="18" width="26.6328125" customWidth="1"/>
    <col min="19" max="19" width="19.08984375" style="2" customWidth="1"/>
    <col min="20" max="20" width="14.6328125" customWidth="1"/>
    <col min="21" max="21" width="19.453125" customWidth="1"/>
    <col min="22" max="22" width="28.08984375" customWidth="1"/>
    <col min="23" max="23" width="21.6328125" style="2" customWidth="1"/>
    <col min="24" max="24" width="13.6328125" customWidth="1"/>
    <col min="25" max="25" width="15.6328125" customWidth="1"/>
    <col min="26" max="26" width="24.453125" customWidth="1"/>
    <col min="27" max="27" width="17.08984375" style="2" customWidth="1"/>
    <col min="28" max="28" width="15.36328125" customWidth="1"/>
    <col min="29" max="29" width="19.36328125" customWidth="1"/>
    <col min="30" max="30" width="11.6328125" customWidth="1"/>
    <col min="31" max="31" width="11.36328125" style="2" customWidth="1"/>
  </cols>
  <sheetData>
    <row r="1" spans="1:31" x14ac:dyDescent="0.35">
      <c r="T1" s="2"/>
      <c r="U1" s="2"/>
      <c r="V1" s="2"/>
      <c r="X1" s="2"/>
      <c r="Y1" s="2"/>
      <c r="Z1" s="2"/>
      <c r="AB1" s="2"/>
      <c r="AC1" s="2"/>
      <c r="AD1" s="2"/>
    </row>
    <row r="2" spans="1:31" ht="23.5" x14ac:dyDescent="0.55000000000000004">
      <c r="B2" s="74" t="s">
        <v>30</v>
      </c>
      <c r="C2" s="74"/>
      <c r="D2" s="74"/>
      <c r="E2" s="74"/>
      <c r="F2" s="2"/>
      <c r="H2" s="2"/>
      <c r="I2" s="2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"/>
    </row>
    <row r="3" spans="1:31" x14ac:dyDescent="0.35">
      <c r="A3" s="24" t="s">
        <v>23</v>
      </c>
      <c r="B3" s="66" t="s">
        <v>186</v>
      </c>
      <c r="C3" s="67"/>
      <c r="D3" s="67"/>
      <c r="E3" s="68"/>
      <c r="F3" s="66" t="s">
        <v>187</v>
      </c>
      <c r="G3" s="67"/>
      <c r="H3" s="67"/>
      <c r="I3" s="68"/>
      <c r="J3" s="69" t="s">
        <v>188</v>
      </c>
      <c r="K3" s="69"/>
      <c r="L3" s="69"/>
      <c r="M3" s="70"/>
      <c r="N3" s="66" t="s">
        <v>189</v>
      </c>
      <c r="O3" s="67"/>
      <c r="P3" s="67"/>
      <c r="Q3" s="68"/>
      <c r="R3" s="69" t="s">
        <v>190</v>
      </c>
      <c r="S3" s="69"/>
      <c r="T3" s="69"/>
      <c r="U3" s="70"/>
      <c r="V3" s="69" t="s">
        <v>191</v>
      </c>
      <c r="W3" s="69"/>
      <c r="X3" s="69"/>
      <c r="Y3" s="70"/>
      <c r="Z3" s="69" t="s">
        <v>192</v>
      </c>
      <c r="AA3" s="69"/>
      <c r="AB3" s="69"/>
      <c r="AC3" s="70"/>
      <c r="AD3" s="2"/>
      <c r="AE3" s="22"/>
    </row>
    <row r="4" spans="1:31" x14ac:dyDescent="0.35">
      <c r="A4" s="11" t="s">
        <v>49</v>
      </c>
      <c r="B4" s="72" t="s">
        <v>1</v>
      </c>
      <c r="C4" s="72"/>
      <c r="D4" s="72"/>
      <c r="E4" s="73"/>
      <c r="F4" s="71" t="s">
        <v>2</v>
      </c>
      <c r="G4" s="72"/>
      <c r="H4" s="72"/>
      <c r="I4" s="73"/>
      <c r="J4" s="71" t="s">
        <v>3</v>
      </c>
      <c r="K4" s="72"/>
      <c r="L4" s="72"/>
      <c r="M4" s="73"/>
      <c r="N4" s="71" t="s">
        <v>4</v>
      </c>
      <c r="O4" s="72"/>
      <c r="P4" s="72"/>
      <c r="Q4" s="73"/>
      <c r="R4" s="72" t="s">
        <v>5</v>
      </c>
      <c r="S4" s="72"/>
      <c r="T4" s="72"/>
      <c r="U4" s="73"/>
      <c r="V4" s="72" t="s">
        <v>6</v>
      </c>
      <c r="W4" s="72"/>
      <c r="X4" s="72"/>
      <c r="Y4" s="72"/>
      <c r="Z4" s="71" t="s">
        <v>7</v>
      </c>
      <c r="AA4" s="72"/>
      <c r="AB4" s="72"/>
      <c r="AC4" s="73"/>
      <c r="AD4" s="22"/>
      <c r="AE4" s="22"/>
    </row>
    <row r="5" spans="1:31" x14ac:dyDescent="0.35">
      <c r="A5" s="11" t="s">
        <v>50</v>
      </c>
      <c r="B5" s="25" t="s">
        <v>25</v>
      </c>
      <c r="C5" s="25" t="s">
        <v>26</v>
      </c>
      <c r="D5" s="25" t="s">
        <v>27</v>
      </c>
      <c r="E5" s="26" t="s">
        <v>28</v>
      </c>
      <c r="F5" s="25" t="s">
        <v>25</v>
      </c>
      <c r="G5" s="25" t="s">
        <v>26</v>
      </c>
      <c r="H5" s="25" t="s">
        <v>27</v>
      </c>
      <c r="I5" s="26" t="s">
        <v>28</v>
      </c>
      <c r="J5" s="25" t="s">
        <v>25</v>
      </c>
      <c r="K5" s="25" t="s">
        <v>26</v>
      </c>
      <c r="L5" s="25" t="s">
        <v>27</v>
      </c>
      <c r="M5" s="26" t="s">
        <v>28</v>
      </c>
      <c r="N5" s="25" t="s">
        <v>25</v>
      </c>
      <c r="O5" s="25" t="s">
        <v>26</v>
      </c>
      <c r="P5" s="25" t="s">
        <v>27</v>
      </c>
      <c r="Q5" s="26" t="s">
        <v>28</v>
      </c>
      <c r="R5" s="25" t="s">
        <v>25</v>
      </c>
      <c r="S5" s="25" t="s">
        <v>26</v>
      </c>
      <c r="T5" s="25" t="s">
        <v>27</v>
      </c>
      <c r="U5" s="26" t="s">
        <v>28</v>
      </c>
      <c r="V5" s="26" t="s">
        <v>25</v>
      </c>
      <c r="W5" s="25" t="s">
        <v>26</v>
      </c>
      <c r="X5" s="25" t="s">
        <v>27</v>
      </c>
      <c r="Y5" s="26" t="s">
        <v>28</v>
      </c>
      <c r="Z5" s="25" t="s">
        <v>25</v>
      </c>
      <c r="AA5" s="25" t="s">
        <v>26</v>
      </c>
      <c r="AB5" s="25" t="s">
        <v>27</v>
      </c>
      <c r="AC5" s="25" t="s">
        <v>28</v>
      </c>
      <c r="AD5" s="2"/>
    </row>
    <row r="6" spans="1:31" x14ac:dyDescent="0.35">
      <c r="A6" s="27">
        <v>0.29166666666666669</v>
      </c>
      <c r="B6" s="10"/>
      <c r="C6" s="17"/>
      <c r="D6" s="17"/>
      <c r="E6" s="10"/>
      <c r="F6" s="17"/>
      <c r="G6" s="17"/>
      <c r="H6" s="17"/>
      <c r="I6" s="10"/>
      <c r="J6" s="17"/>
      <c r="K6" s="17"/>
      <c r="L6" s="17"/>
      <c r="M6" s="10"/>
      <c r="N6" s="17"/>
      <c r="O6" s="17"/>
      <c r="P6" s="17"/>
      <c r="Q6" s="10"/>
      <c r="R6" s="17"/>
      <c r="S6" s="17"/>
      <c r="T6" s="17"/>
      <c r="U6" s="10"/>
      <c r="V6" s="17"/>
      <c r="W6" s="17"/>
      <c r="X6" s="17"/>
      <c r="Y6" s="10"/>
      <c r="Z6" s="17"/>
      <c r="AA6" s="17"/>
      <c r="AB6" s="17"/>
      <c r="AC6" s="17"/>
      <c r="AD6" s="2"/>
    </row>
    <row r="7" spans="1:31" x14ac:dyDescent="0.35">
      <c r="A7" s="27">
        <v>0.3125</v>
      </c>
      <c r="B7" s="12"/>
      <c r="C7" s="18"/>
      <c r="D7" s="18"/>
      <c r="E7" s="12"/>
      <c r="F7" s="17"/>
      <c r="G7" s="17"/>
      <c r="H7" s="17"/>
      <c r="I7" s="10"/>
      <c r="J7" s="17"/>
      <c r="K7" s="17"/>
      <c r="L7" s="17"/>
      <c r="M7" s="10"/>
      <c r="N7" s="17"/>
      <c r="O7" s="17"/>
      <c r="P7" s="17"/>
      <c r="Q7" s="10"/>
      <c r="R7" s="17"/>
      <c r="S7" s="17"/>
      <c r="T7" s="17"/>
      <c r="U7" s="10"/>
      <c r="V7" s="17"/>
      <c r="W7" s="17"/>
      <c r="X7" s="17"/>
      <c r="Y7" s="10"/>
      <c r="Z7" s="17"/>
      <c r="AA7" s="17"/>
      <c r="AB7" s="17"/>
      <c r="AC7" s="17"/>
      <c r="AD7" s="2"/>
    </row>
    <row r="8" spans="1:31" x14ac:dyDescent="0.35">
      <c r="A8" s="27">
        <v>0.33333333333333331</v>
      </c>
      <c r="B8" s="12"/>
      <c r="C8" s="18"/>
      <c r="D8" s="18"/>
      <c r="E8" s="12"/>
      <c r="F8" s="17"/>
      <c r="G8" s="17"/>
      <c r="H8" s="17"/>
      <c r="I8" s="10"/>
      <c r="J8" s="17"/>
      <c r="K8" s="17"/>
      <c r="L8" s="17"/>
      <c r="M8" s="10"/>
      <c r="N8" s="17"/>
      <c r="O8" s="17"/>
      <c r="P8" s="17"/>
      <c r="Q8" s="10"/>
      <c r="R8" s="17"/>
      <c r="S8" s="17"/>
      <c r="T8" s="17"/>
      <c r="U8" s="10"/>
      <c r="V8" s="17"/>
      <c r="W8" s="17"/>
      <c r="X8" s="17"/>
      <c r="Y8" s="10"/>
      <c r="Z8" s="17"/>
      <c r="AA8" s="17"/>
      <c r="AB8" s="17"/>
      <c r="AC8" s="17"/>
    </row>
    <row r="9" spans="1:31" x14ac:dyDescent="0.35">
      <c r="A9" s="27">
        <v>0.35416666666666669</v>
      </c>
      <c r="B9" s="10"/>
      <c r="C9" s="17"/>
      <c r="D9" s="17"/>
      <c r="E9" s="10"/>
      <c r="F9" s="17"/>
      <c r="G9" s="17"/>
      <c r="H9" s="17"/>
      <c r="I9" s="10"/>
      <c r="J9" s="17"/>
      <c r="K9" s="17"/>
      <c r="L9" s="17"/>
      <c r="M9" s="15"/>
      <c r="N9" s="17"/>
      <c r="O9" s="17"/>
      <c r="P9" s="17"/>
      <c r="Q9" s="10"/>
      <c r="R9" s="17"/>
      <c r="S9" s="17"/>
      <c r="T9" s="17"/>
      <c r="U9" s="10"/>
      <c r="V9" s="17"/>
      <c r="W9" s="17"/>
      <c r="X9" s="17"/>
      <c r="Y9" s="15"/>
      <c r="Z9" s="17"/>
      <c r="AA9" s="17"/>
      <c r="AB9" s="17"/>
      <c r="AC9" s="10"/>
    </row>
    <row r="10" spans="1:31" x14ac:dyDescent="0.35">
      <c r="A10" s="27">
        <v>0.375</v>
      </c>
      <c r="B10" s="13"/>
      <c r="C10" s="19"/>
      <c r="D10" s="19"/>
      <c r="E10" s="13"/>
      <c r="F10" s="19"/>
      <c r="G10" s="19"/>
      <c r="H10" s="19"/>
      <c r="I10" s="13"/>
      <c r="J10" s="21"/>
      <c r="K10" s="21"/>
      <c r="L10" s="17"/>
      <c r="M10" s="15"/>
      <c r="N10" s="19"/>
      <c r="O10" s="19"/>
      <c r="P10" s="19"/>
      <c r="Q10" s="13"/>
      <c r="R10" s="19"/>
      <c r="S10" s="19"/>
      <c r="T10" s="19"/>
      <c r="U10" s="13"/>
      <c r="V10" s="17"/>
      <c r="W10" s="17"/>
      <c r="X10" s="17"/>
      <c r="Y10" s="15"/>
      <c r="Z10" s="17"/>
      <c r="AA10" s="17"/>
      <c r="AB10" s="17"/>
      <c r="AC10" s="10"/>
    </row>
    <row r="11" spans="1:31" x14ac:dyDescent="0.35">
      <c r="A11" s="27">
        <v>0.39583333333333331</v>
      </c>
      <c r="B11" s="13"/>
      <c r="C11" s="19"/>
      <c r="D11" s="19"/>
      <c r="E11" s="13"/>
      <c r="F11" s="19"/>
      <c r="G11" s="19"/>
      <c r="H11" s="19"/>
      <c r="I11" s="13"/>
      <c r="J11" s="21"/>
      <c r="K11" s="21"/>
      <c r="L11" s="17"/>
      <c r="M11" s="15"/>
      <c r="N11" s="19"/>
      <c r="O11" s="19"/>
      <c r="P11" s="19"/>
      <c r="Q11" s="13"/>
      <c r="R11" s="19"/>
      <c r="S11" s="19"/>
      <c r="T11" s="19"/>
      <c r="U11" s="13"/>
      <c r="V11" s="17"/>
      <c r="W11" s="17"/>
      <c r="X11" s="17"/>
      <c r="Y11" s="15"/>
      <c r="Z11" s="17"/>
      <c r="AA11" s="17"/>
      <c r="AB11" s="17"/>
      <c r="AC11" s="10"/>
    </row>
    <row r="12" spans="1:31" x14ac:dyDescent="0.35">
      <c r="A12" s="27">
        <v>0.41666666666666702</v>
      </c>
      <c r="B12" s="13"/>
      <c r="C12" s="19"/>
      <c r="D12" s="19"/>
      <c r="E12" s="13"/>
      <c r="F12" s="19"/>
      <c r="G12" s="19"/>
      <c r="H12" s="19"/>
      <c r="I12" s="13"/>
      <c r="J12" s="21"/>
      <c r="K12" s="21"/>
      <c r="L12" s="17"/>
      <c r="M12" s="15"/>
      <c r="N12" s="19"/>
      <c r="O12" s="19"/>
      <c r="P12" s="19"/>
      <c r="Q12" s="13"/>
      <c r="R12" s="19"/>
      <c r="S12" s="19"/>
      <c r="T12" s="19"/>
      <c r="U12" s="13"/>
      <c r="V12" s="17"/>
      <c r="W12" s="21"/>
      <c r="X12" s="17"/>
      <c r="Y12" s="15"/>
      <c r="Z12" s="17"/>
      <c r="AA12" s="17"/>
      <c r="AB12" s="18"/>
      <c r="AC12" s="10"/>
    </row>
    <row r="13" spans="1:31" x14ac:dyDescent="0.35">
      <c r="A13" s="27">
        <v>0.4375</v>
      </c>
      <c r="B13" s="13"/>
      <c r="C13" s="19"/>
      <c r="D13" s="19"/>
      <c r="E13" s="13"/>
      <c r="F13" s="19"/>
      <c r="G13" s="19"/>
      <c r="H13" s="19"/>
      <c r="I13" s="13"/>
      <c r="J13" s="21"/>
      <c r="K13" s="21"/>
      <c r="L13" s="17"/>
      <c r="M13" s="15"/>
      <c r="N13" s="19"/>
      <c r="O13" s="19"/>
      <c r="P13" s="19"/>
      <c r="Q13" s="13"/>
      <c r="R13" s="19"/>
      <c r="S13" s="19"/>
      <c r="T13" s="19"/>
      <c r="U13" s="13"/>
      <c r="V13" s="17"/>
      <c r="W13" s="21"/>
      <c r="X13" s="17"/>
      <c r="Y13" s="15"/>
      <c r="Z13" s="17"/>
      <c r="AA13" s="17"/>
      <c r="AB13" s="18"/>
      <c r="AC13" s="10"/>
    </row>
    <row r="14" spans="1:31" x14ac:dyDescent="0.35">
      <c r="A14" s="27">
        <v>0.45833333333333398</v>
      </c>
      <c r="B14" s="13"/>
      <c r="C14" s="19"/>
      <c r="D14" s="19"/>
      <c r="E14" s="13"/>
      <c r="F14" s="19"/>
      <c r="G14" s="19"/>
      <c r="H14" s="19"/>
      <c r="I14" s="13"/>
      <c r="J14" s="21"/>
      <c r="K14" s="21"/>
      <c r="L14" s="17"/>
      <c r="M14" s="15"/>
      <c r="N14" s="19"/>
      <c r="O14" s="19"/>
      <c r="P14" s="19"/>
      <c r="Q14" s="13"/>
      <c r="R14" s="19"/>
      <c r="S14" s="19"/>
      <c r="T14" s="19"/>
      <c r="U14" s="13"/>
      <c r="V14" s="17"/>
      <c r="W14" s="21"/>
      <c r="X14" s="17"/>
      <c r="Y14" s="15"/>
      <c r="Z14" s="17"/>
      <c r="AA14" s="17"/>
      <c r="AB14" s="18"/>
      <c r="AC14" s="10"/>
    </row>
    <row r="15" spans="1:31" x14ac:dyDescent="0.35">
      <c r="A15" s="27">
        <v>0.47916666666666702</v>
      </c>
      <c r="B15" s="13"/>
      <c r="C15" s="19"/>
      <c r="D15" s="19"/>
      <c r="E15" s="13"/>
      <c r="F15" s="19"/>
      <c r="G15" s="19"/>
      <c r="H15" s="19"/>
      <c r="I15" s="13"/>
      <c r="J15" s="21"/>
      <c r="K15" s="21"/>
      <c r="L15" s="17"/>
      <c r="M15" s="15"/>
      <c r="N15" s="19"/>
      <c r="O15" s="19"/>
      <c r="P15" s="19"/>
      <c r="Q15" s="13"/>
      <c r="R15" s="19"/>
      <c r="S15" s="19"/>
      <c r="T15" s="19"/>
      <c r="U15" s="13"/>
      <c r="V15" s="17"/>
      <c r="W15" s="21"/>
      <c r="X15" s="17"/>
      <c r="Y15" s="15"/>
      <c r="Z15" s="17"/>
      <c r="AA15" s="17"/>
      <c r="AB15" s="18"/>
      <c r="AC15" s="10"/>
    </row>
    <row r="16" spans="1:31" x14ac:dyDescent="0.35">
      <c r="A16" s="27">
        <v>0.5</v>
      </c>
      <c r="B16" s="13"/>
      <c r="C16" s="19"/>
      <c r="D16" s="19"/>
      <c r="E16" s="13"/>
      <c r="F16" s="19"/>
      <c r="G16" s="19"/>
      <c r="H16" s="19"/>
      <c r="I16" s="13"/>
      <c r="J16" s="21"/>
      <c r="K16" s="21"/>
      <c r="L16" s="17"/>
      <c r="M16" s="15"/>
      <c r="N16" s="19"/>
      <c r="O16" s="19"/>
      <c r="P16" s="19"/>
      <c r="Q16" s="13"/>
      <c r="R16" s="19"/>
      <c r="S16" s="19"/>
      <c r="T16" s="19"/>
      <c r="U16" s="13"/>
      <c r="V16" s="17"/>
      <c r="W16" s="21"/>
      <c r="X16" s="17"/>
      <c r="Y16" s="15"/>
      <c r="Z16" s="17"/>
      <c r="AA16" s="17"/>
      <c r="AB16" s="18"/>
      <c r="AC16" s="10"/>
    </row>
    <row r="17" spans="1:29" x14ac:dyDescent="0.35">
      <c r="A17" s="27">
        <v>0.52083333333333304</v>
      </c>
      <c r="B17" s="12"/>
      <c r="C17" s="21"/>
      <c r="D17" s="18"/>
      <c r="E17" s="12"/>
      <c r="F17" s="17"/>
      <c r="G17" s="17"/>
      <c r="H17" s="17"/>
      <c r="I17" s="10"/>
      <c r="J17" s="17"/>
      <c r="K17" s="21"/>
      <c r="L17" s="17"/>
      <c r="M17" s="15"/>
      <c r="N17" s="17"/>
      <c r="O17" s="17"/>
      <c r="P17" s="17"/>
      <c r="Q17" s="10"/>
      <c r="R17" s="17"/>
      <c r="S17" s="17"/>
      <c r="T17" s="17"/>
      <c r="U17" s="10"/>
      <c r="V17" s="17"/>
      <c r="W17" s="21"/>
      <c r="X17" s="17"/>
      <c r="Y17" s="15"/>
      <c r="Z17" s="17"/>
      <c r="AA17" s="17"/>
      <c r="AB17" s="18"/>
      <c r="AC17" s="10"/>
    </row>
    <row r="18" spans="1:29" x14ac:dyDescent="0.35">
      <c r="A18" s="27">
        <v>0.54166666666666696</v>
      </c>
      <c r="B18" s="21"/>
      <c r="C18" s="21"/>
      <c r="D18" s="18"/>
      <c r="E18" s="12"/>
      <c r="F18" s="17"/>
      <c r="G18" s="17"/>
      <c r="H18" s="17"/>
      <c r="I18" s="10"/>
      <c r="J18" s="17"/>
      <c r="K18" s="21"/>
      <c r="L18" s="17"/>
      <c r="M18" s="15"/>
      <c r="N18" s="17"/>
      <c r="O18" s="17"/>
      <c r="P18" s="17"/>
      <c r="Q18" s="10"/>
      <c r="R18" s="17"/>
      <c r="S18" s="17"/>
      <c r="T18" s="17"/>
      <c r="U18" s="10"/>
      <c r="V18" s="17"/>
      <c r="W18" s="21"/>
      <c r="X18" s="17"/>
      <c r="Y18" s="15"/>
      <c r="Z18" s="17"/>
      <c r="AA18" s="17"/>
      <c r="AB18" s="18"/>
      <c r="AC18" s="10"/>
    </row>
    <row r="19" spans="1:29" x14ac:dyDescent="0.35">
      <c r="A19" s="27">
        <v>0.5625</v>
      </c>
      <c r="B19" s="21"/>
      <c r="C19" s="21"/>
      <c r="D19" s="18"/>
      <c r="E19" s="15"/>
      <c r="F19" s="19"/>
      <c r="G19" s="19"/>
      <c r="H19" s="19"/>
      <c r="I19" s="13"/>
      <c r="J19" s="17"/>
      <c r="K19" s="21"/>
      <c r="L19" s="17"/>
      <c r="M19" s="15"/>
      <c r="N19" s="17"/>
      <c r="O19" s="17"/>
      <c r="P19" s="19"/>
      <c r="Q19" s="13"/>
      <c r="R19" s="19"/>
      <c r="S19" s="17"/>
      <c r="T19" s="19"/>
      <c r="U19" s="13"/>
      <c r="V19" s="17"/>
      <c r="W19" s="21"/>
      <c r="X19" s="17"/>
      <c r="Y19" s="15"/>
      <c r="Z19" s="17"/>
      <c r="AA19" s="17"/>
      <c r="AB19" s="18"/>
      <c r="AC19" s="10"/>
    </row>
    <row r="20" spans="1:29" x14ac:dyDescent="0.35">
      <c r="A20" s="27">
        <v>0.58333333333333304</v>
      </c>
      <c r="B20" s="21"/>
      <c r="C20" s="21"/>
      <c r="D20" s="18"/>
      <c r="E20" s="15"/>
      <c r="F20" s="19"/>
      <c r="G20" s="19"/>
      <c r="H20" s="19"/>
      <c r="I20" s="13"/>
      <c r="J20" s="18"/>
      <c r="K20" s="21"/>
      <c r="L20" s="18"/>
      <c r="M20" s="12"/>
      <c r="N20" s="17"/>
      <c r="O20" s="17"/>
      <c r="P20" s="19"/>
      <c r="Q20" s="13"/>
      <c r="R20" s="19"/>
      <c r="S20" s="17"/>
      <c r="T20" s="19"/>
      <c r="U20" s="13"/>
      <c r="V20" s="17"/>
      <c r="W20" s="21"/>
      <c r="X20" s="17"/>
      <c r="Y20" s="10"/>
      <c r="Z20" s="17"/>
      <c r="AA20" s="17"/>
      <c r="AB20" s="18"/>
      <c r="AC20" s="10"/>
    </row>
    <row r="21" spans="1:29" x14ac:dyDescent="0.35">
      <c r="A21" s="27">
        <v>0.60416666666666696</v>
      </c>
      <c r="B21" s="21"/>
      <c r="C21" s="21"/>
      <c r="D21" s="18"/>
      <c r="E21" s="15"/>
      <c r="F21" s="19"/>
      <c r="G21" s="19"/>
      <c r="H21" s="19"/>
      <c r="I21" s="13"/>
      <c r="J21" s="19"/>
      <c r="K21" s="19"/>
      <c r="L21" s="19"/>
      <c r="M21" s="13"/>
      <c r="N21" s="17"/>
      <c r="O21" s="17"/>
      <c r="P21" s="19"/>
      <c r="Q21" s="13"/>
      <c r="R21" s="19"/>
      <c r="S21" s="21"/>
      <c r="T21" s="19"/>
      <c r="U21" s="13"/>
      <c r="V21" s="17"/>
      <c r="W21" s="17"/>
      <c r="X21" s="17"/>
      <c r="Y21" s="10"/>
      <c r="Z21" s="17"/>
      <c r="AA21" s="17"/>
      <c r="AB21" s="18"/>
      <c r="AC21" s="10"/>
    </row>
    <row r="22" spans="1:29" x14ac:dyDescent="0.35">
      <c r="A22" s="27">
        <v>0.625</v>
      </c>
      <c r="B22" s="21"/>
      <c r="C22" s="21"/>
      <c r="D22" s="18"/>
      <c r="E22" s="15"/>
      <c r="F22" s="21"/>
      <c r="G22" s="21"/>
      <c r="H22" s="17"/>
      <c r="I22" s="10"/>
      <c r="J22" s="19"/>
      <c r="K22" s="19"/>
      <c r="L22" s="19"/>
      <c r="M22" s="13"/>
      <c r="N22" s="21"/>
      <c r="O22" s="21"/>
      <c r="P22" s="17"/>
      <c r="Q22" s="10"/>
      <c r="R22" s="19"/>
      <c r="S22" s="21"/>
      <c r="T22" s="19"/>
      <c r="U22" s="13"/>
      <c r="V22" s="17"/>
      <c r="W22" s="17"/>
      <c r="X22" s="17"/>
      <c r="Y22" s="10"/>
      <c r="Z22" s="17"/>
      <c r="AA22" s="17"/>
      <c r="AB22" s="18"/>
      <c r="AC22" s="10"/>
    </row>
    <row r="23" spans="1:29" x14ac:dyDescent="0.35">
      <c r="A23" s="27">
        <v>0.64583333333333304</v>
      </c>
      <c r="B23" s="21"/>
      <c r="C23" s="21"/>
      <c r="D23" s="18"/>
      <c r="E23" s="15"/>
      <c r="F23" s="21"/>
      <c r="G23" s="21"/>
      <c r="H23" s="17"/>
      <c r="I23" s="15"/>
      <c r="J23" s="19"/>
      <c r="K23" s="19"/>
      <c r="L23" s="19"/>
      <c r="M23" s="13"/>
      <c r="N23" s="21"/>
      <c r="O23" s="21"/>
      <c r="P23" s="17"/>
      <c r="Q23" s="10"/>
      <c r="R23" s="19"/>
      <c r="S23" s="21"/>
      <c r="T23" s="55"/>
      <c r="U23" s="13"/>
      <c r="V23" s="17"/>
      <c r="W23" s="17"/>
      <c r="X23" s="17"/>
      <c r="Y23" s="10"/>
      <c r="Z23" s="17"/>
      <c r="AA23" s="17"/>
      <c r="AB23" s="18"/>
      <c r="AC23" s="10"/>
    </row>
    <row r="24" spans="1:29" x14ac:dyDescent="0.35">
      <c r="A24" s="27">
        <v>0.66666666666666696</v>
      </c>
      <c r="B24" s="21"/>
      <c r="C24" s="21"/>
      <c r="D24" s="19"/>
      <c r="E24" s="13"/>
      <c r="F24" s="21"/>
      <c r="G24" s="21"/>
      <c r="H24" s="17"/>
      <c r="I24" s="15"/>
      <c r="J24" s="21"/>
      <c r="K24" s="21"/>
      <c r="L24" s="21"/>
      <c r="M24" s="15"/>
      <c r="N24" s="21"/>
      <c r="O24" s="21"/>
      <c r="P24" s="19"/>
      <c r="Q24" s="13"/>
      <c r="R24" s="19"/>
      <c r="S24" s="19"/>
      <c r="T24" s="17"/>
      <c r="U24" s="10"/>
      <c r="V24" s="17"/>
      <c r="W24" s="17"/>
      <c r="X24" s="17"/>
      <c r="Y24" s="10"/>
      <c r="Z24" s="17"/>
      <c r="AA24" s="17"/>
      <c r="AB24" s="18"/>
      <c r="AC24" s="10"/>
    </row>
    <row r="25" spans="1:29" x14ac:dyDescent="0.35">
      <c r="A25" s="27">
        <v>0.6875</v>
      </c>
      <c r="B25" s="21"/>
      <c r="C25" s="21"/>
      <c r="D25" s="19"/>
      <c r="E25" s="13"/>
      <c r="F25" s="21"/>
      <c r="G25" s="21"/>
      <c r="H25" s="17"/>
      <c r="I25" s="15"/>
      <c r="J25" s="21"/>
      <c r="K25" s="21"/>
      <c r="L25" s="21"/>
      <c r="M25" s="15"/>
      <c r="N25" s="21"/>
      <c r="O25" s="21"/>
      <c r="P25" s="19"/>
      <c r="Q25" s="13"/>
      <c r="R25" s="19"/>
      <c r="S25" s="19"/>
      <c r="T25" s="17"/>
      <c r="U25" s="15"/>
      <c r="V25" s="17"/>
      <c r="W25" s="17"/>
      <c r="X25" s="17"/>
      <c r="Y25" s="10"/>
      <c r="Z25" s="17"/>
      <c r="AA25" s="17"/>
      <c r="AB25" s="18"/>
      <c r="AC25" s="10"/>
    </row>
    <row r="26" spans="1:29" x14ac:dyDescent="0.35">
      <c r="A26" s="27">
        <v>0.70833333333333304</v>
      </c>
      <c r="B26" s="21"/>
      <c r="C26" s="21"/>
      <c r="D26" s="19"/>
      <c r="E26" s="13"/>
      <c r="F26" s="21"/>
      <c r="G26" s="21"/>
      <c r="H26" s="17"/>
      <c r="I26" s="15"/>
      <c r="J26" s="21"/>
      <c r="K26" s="21"/>
      <c r="L26" s="21"/>
      <c r="M26" s="15"/>
      <c r="N26" s="21"/>
      <c r="O26" s="21"/>
      <c r="P26" s="19"/>
      <c r="Q26" s="13"/>
      <c r="R26" s="19"/>
      <c r="S26" s="19"/>
      <c r="T26" s="17"/>
      <c r="U26" s="15"/>
      <c r="V26" s="17"/>
      <c r="W26" s="17"/>
      <c r="X26" s="17"/>
      <c r="Y26" s="10"/>
      <c r="Z26" s="17"/>
      <c r="AA26" s="17"/>
      <c r="AB26" s="18"/>
      <c r="AC26" s="10"/>
    </row>
    <row r="27" spans="1:29" x14ac:dyDescent="0.35">
      <c r="A27" s="27">
        <v>0.72916666666666696</v>
      </c>
      <c r="B27" s="21"/>
      <c r="C27" s="21"/>
      <c r="D27" s="19"/>
      <c r="E27" s="13"/>
      <c r="F27" s="21"/>
      <c r="G27" s="21"/>
      <c r="H27" s="17"/>
      <c r="I27" s="15"/>
      <c r="J27" s="21"/>
      <c r="K27" s="21"/>
      <c r="L27" s="21"/>
      <c r="M27" s="15"/>
      <c r="N27" s="21"/>
      <c r="O27" s="21"/>
      <c r="P27" s="19"/>
      <c r="Q27" s="13"/>
      <c r="R27" s="19"/>
      <c r="S27" s="19"/>
      <c r="T27" s="17"/>
      <c r="U27" s="15"/>
      <c r="V27" s="17"/>
      <c r="W27" s="17"/>
      <c r="X27" s="17"/>
      <c r="Y27" s="10"/>
      <c r="Z27" s="17"/>
      <c r="AA27" s="17"/>
      <c r="AB27" s="18"/>
      <c r="AC27" s="10"/>
    </row>
    <row r="28" spans="1:29" x14ac:dyDescent="0.35">
      <c r="A28" s="27">
        <v>0.75</v>
      </c>
      <c r="B28" s="12"/>
      <c r="C28" s="21"/>
      <c r="D28" s="19"/>
      <c r="E28" s="13"/>
      <c r="F28" s="17"/>
      <c r="G28" s="21"/>
      <c r="H28" s="17"/>
      <c r="I28" s="15"/>
      <c r="J28" s="21"/>
      <c r="K28" s="21"/>
      <c r="L28" s="21"/>
      <c r="M28" s="15"/>
      <c r="N28" s="17"/>
      <c r="O28" s="21"/>
      <c r="P28" s="19"/>
      <c r="Q28" s="13"/>
      <c r="R28" s="19"/>
      <c r="S28" s="19"/>
      <c r="T28" s="17"/>
      <c r="U28" s="15"/>
      <c r="V28" s="17"/>
      <c r="W28" s="17"/>
      <c r="X28" s="17"/>
      <c r="Y28" s="10"/>
      <c r="Z28" s="17"/>
      <c r="AA28" s="17"/>
      <c r="AB28" s="18"/>
      <c r="AC28" s="10"/>
    </row>
    <row r="29" spans="1:29" x14ac:dyDescent="0.35">
      <c r="A29" s="27">
        <v>0.77083333333333304</v>
      </c>
      <c r="B29" s="12"/>
      <c r="C29" s="17"/>
      <c r="D29" s="17"/>
      <c r="E29" s="10"/>
      <c r="F29" s="17"/>
      <c r="G29" s="17"/>
      <c r="H29" s="17"/>
      <c r="I29" s="15"/>
      <c r="J29" s="21"/>
      <c r="K29" s="21"/>
      <c r="L29" s="21"/>
      <c r="M29" s="15"/>
      <c r="N29" s="17"/>
      <c r="O29" s="17"/>
      <c r="P29" s="17"/>
      <c r="Q29" s="10"/>
      <c r="R29" s="17"/>
      <c r="S29" s="17"/>
      <c r="T29" s="17"/>
      <c r="U29" s="15"/>
      <c r="V29" s="17"/>
      <c r="W29" s="17"/>
      <c r="X29" s="17"/>
      <c r="Y29" s="10"/>
      <c r="Z29" s="17"/>
      <c r="AA29" s="17"/>
      <c r="AB29" s="18"/>
      <c r="AC29" s="10"/>
    </row>
    <row r="30" spans="1:29" x14ac:dyDescent="0.35">
      <c r="A30" s="27">
        <v>0.79166666666666696</v>
      </c>
      <c r="B30" s="12"/>
      <c r="C30" s="17"/>
      <c r="D30" s="17"/>
      <c r="E30" s="10"/>
      <c r="F30" s="17"/>
      <c r="G30" s="17"/>
      <c r="H30" s="17"/>
      <c r="I30" s="15"/>
      <c r="J30" s="21"/>
      <c r="K30" s="21"/>
      <c r="L30" s="21"/>
      <c r="M30" s="15"/>
      <c r="N30" s="17"/>
      <c r="O30" s="17"/>
      <c r="P30" s="17"/>
      <c r="Q30" s="10"/>
      <c r="R30" s="17"/>
      <c r="S30" s="17"/>
      <c r="T30" s="17"/>
      <c r="U30" s="15"/>
      <c r="V30" s="17"/>
      <c r="W30" s="17"/>
      <c r="X30" s="17"/>
      <c r="Y30" s="10"/>
      <c r="Z30" s="17"/>
      <c r="AA30" s="17"/>
      <c r="AB30" s="17"/>
      <c r="AC30" s="10"/>
    </row>
    <row r="31" spans="1:29" x14ac:dyDescent="0.35">
      <c r="A31" s="27">
        <v>0.8125</v>
      </c>
      <c r="B31" s="12"/>
      <c r="C31" s="17"/>
      <c r="D31" s="17"/>
      <c r="E31" s="10"/>
      <c r="F31" s="17"/>
      <c r="G31" s="17"/>
      <c r="H31" s="17"/>
      <c r="I31" s="10"/>
      <c r="J31" s="21"/>
      <c r="K31" s="21"/>
      <c r="L31" s="21"/>
      <c r="M31" s="15"/>
      <c r="N31" s="17"/>
      <c r="O31" s="17"/>
      <c r="P31" s="17"/>
      <c r="Q31" s="10"/>
      <c r="R31" s="17"/>
      <c r="S31" s="17"/>
      <c r="T31" s="17"/>
      <c r="U31" s="10"/>
      <c r="V31" s="17"/>
      <c r="W31" s="17"/>
      <c r="X31" s="17"/>
      <c r="Y31" s="10"/>
      <c r="Z31" s="17"/>
      <c r="AA31" s="17"/>
      <c r="AB31" s="17"/>
      <c r="AC31" s="10"/>
    </row>
    <row r="32" spans="1:29" x14ac:dyDescent="0.35">
      <c r="A32" s="27">
        <v>0.83333333333333304</v>
      </c>
      <c r="B32" s="10"/>
      <c r="C32" s="17"/>
      <c r="D32" s="17"/>
      <c r="E32" s="10"/>
      <c r="F32" s="17"/>
      <c r="G32" s="17"/>
      <c r="H32" s="17"/>
      <c r="I32" s="10"/>
      <c r="J32" s="21"/>
      <c r="K32" s="21"/>
      <c r="L32" s="21"/>
      <c r="M32" s="15"/>
      <c r="N32" s="17"/>
      <c r="O32" s="17"/>
      <c r="P32" s="17"/>
      <c r="Q32" s="10"/>
      <c r="R32" s="17"/>
      <c r="S32" s="17"/>
      <c r="T32" s="17"/>
      <c r="U32" s="10"/>
      <c r="V32" s="17"/>
      <c r="W32" s="17"/>
      <c r="X32" s="17"/>
      <c r="Y32" s="10"/>
      <c r="Z32" s="17"/>
      <c r="AA32" s="17"/>
      <c r="AB32" s="17"/>
      <c r="AC32" s="10"/>
    </row>
    <row r="33" spans="1:31" x14ac:dyDescent="0.35">
      <c r="A33" s="27">
        <v>0.85416666666666696</v>
      </c>
      <c r="B33" s="10"/>
      <c r="C33" s="17"/>
      <c r="D33" s="17"/>
      <c r="E33" s="10"/>
      <c r="F33" s="17"/>
      <c r="G33" s="17"/>
      <c r="H33" s="17"/>
      <c r="I33" s="10"/>
      <c r="J33" s="17"/>
      <c r="K33" s="17"/>
      <c r="L33" s="17"/>
      <c r="M33" s="10"/>
      <c r="N33" s="17"/>
      <c r="O33" s="17"/>
      <c r="P33" s="17"/>
      <c r="Q33" s="10"/>
      <c r="R33" s="17"/>
      <c r="S33" s="17"/>
      <c r="T33" s="17"/>
      <c r="U33" s="10"/>
      <c r="V33" s="17"/>
      <c r="W33" s="17"/>
      <c r="X33" s="17"/>
      <c r="Y33" s="10"/>
      <c r="Z33" s="17"/>
      <c r="AA33" s="17"/>
      <c r="AB33" s="17"/>
      <c r="AC33" s="10"/>
    </row>
    <row r="34" spans="1:31" x14ac:dyDescent="0.35">
      <c r="A34" s="27">
        <v>0.875</v>
      </c>
      <c r="B34" s="10"/>
      <c r="C34" s="17"/>
      <c r="D34" s="17"/>
      <c r="E34" s="10"/>
      <c r="F34" s="17"/>
      <c r="G34" s="17"/>
      <c r="H34" s="17"/>
      <c r="I34" s="10"/>
      <c r="J34" s="17"/>
      <c r="K34" s="17"/>
      <c r="L34" s="17"/>
      <c r="M34" s="10"/>
      <c r="N34" s="17"/>
      <c r="O34" s="17"/>
      <c r="P34" s="17"/>
      <c r="Q34" s="10"/>
      <c r="R34" s="17"/>
      <c r="S34" s="17"/>
      <c r="T34" s="17"/>
      <c r="U34" s="10"/>
      <c r="V34" s="17"/>
      <c r="W34" s="17"/>
      <c r="X34" s="17"/>
      <c r="Y34" s="10"/>
      <c r="Z34" s="17"/>
      <c r="AA34" s="17"/>
      <c r="AB34" s="17"/>
      <c r="AC34" s="10"/>
    </row>
    <row r="35" spans="1:31" x14ac:dyDescent="0.35">
      <c r="A35" s="27">
        <v>0.89583333333333304</v>
      </c>
      <c r="B35" s="10"/>
      <c r="C35" s="17"/>
      <c r="D35" s="17"/>
      <c r="E35" s="10"/>
      <c r="F35" s="17"/>
      <c r="G35" s="17"/>
      <c r="H35" s="17"/>
      <c r="I35" s="10"/>
      <c r="J35" s="17"/>
      <c r="K35" s="17"/>
      <c r="L35" s="17"/>
      <c r="M35" s="10"/>
      <c r="N35" s="17"/>
      <c r="O35" s="17"/>
      <c r="P35" s="17"/>
      <c r="Q35" s="10"/>
      <c r="R35" s="17"/>
      <c r="S35" s="17"/>
      <c r="T35" s="17"/>
      <c r="U35" s="10"/>
      <c r="V35" s="17"/>
      <c r="W35" s="17"/>
      <c r="X35" s="17"/>
      <c r="Y35" s="10"/>
      <c r="Z35" s="17"/>
      <c r="AA35" s="17"/>
      <c r="AB35" s="17"/>
      <c r="AC35" s="10"/>
    </row>
    <row r="36" spans="1:31" x14ac:dyDescent="0.35">
      <c r="A36" s="27">
        <v>0.91666666666666596</v>
      </c>
      <c r="B36" s="10"/>
      <c r="C36" s="17"/>
      <c r="D36" s="17"/>
      <c r="E36" s="10"/>
      <c r="F36" s="17"/>
      <c r="G36" s="17"/>
      <c r="H36" s="17"/>
      <c r="I36" s="10"/>
      <c r="J36" s="17"/>
      <c r="K36" s="17"/>
      <c r="L36" s="17"/>
      <c r="M36" s="10"/>
      <c r="N36" s="17"/>
      <c r="O36" s="17"/>
      <c r="P36" s="17"/>
      <c r="Q36" s="10"/>
      <c r="R36" s="17"/>
      <c r="S36" s="17"/>
      <c r="T36" s="17"/>
      <c r="U36" s="10"/>
      <c r="V36" s="17"/>
      <c r="W36" s="17"/>
      <c r="X36" s="17"/>
      <c r="Y36" s="10"/>
      <c r="Z36" s="17"/>
      <c r="AA36" s="17"/>
      <c r="AB36" s="17"/>
      <c r="AC36" s="10"/>
    </row>
    <row r="37" spans="1:31" x14ac:dyDescent="0.35">
      <c r="A37" s="27">
        <v>0.9375</v>
      </c>
      <c r="B37" s="10"/>
      <c r="C37" s="17"/>
      <c r="D37" s="17"/>
      <c r="E37" s="10"/>
      <c r="F37" s="17"/>
      <c r="G37" s="17"/>
      <c r="H37" s="17"/>
      <c r="I37" s="10"/>
      <c r="J37" s="17"/>
      <c r="K37" s="17"/>
      <c r="L37" s="17"/>
      <c r="M37" s="10"/>
      <c r="N37" s="17"/>
      <c r="O37" s="17"/>
      <c r="P37" s="17"/>
      <c r="Q37" s="10"/>
      <c r="R37" s="17"/>
      <c r="S37" s="17"/>
      <c r="T37" s="17"/>
      <c r="U37" s="10"/>
      <c r="V37" s="17"/>
      <c r="W37" s="17"/>
      <c r="X37" s="17"/>
      <c r="Y37" s="10"/>
      <c r="Z37" s="17"/>
      <c r="AA37" s="17"/>
      <c r="AB37" s="17"/>
      <c r="AC37" s="10"/>
    </row>
    <row r="38" spans="1:31" x14ac:dyDescent="0.35">
      <c r="A38" s="27">
        <v>0.95833333333333304</v>
      </c>
      <c r="B38" s="10"/>
      <c r="C38" s="17"/>
      <c r="D38" s="17"/>
      <c r="E38" s="10"/>
      <c r="F38" s="17"/>
      <c r="G38" s="17"/>
      <c r="H38" s="17"/>
      <c r="I38" s="10"/>
      <c r="J38" s="17"/>
      <c r="K38" s="17"/>
      <c r="L38" s="17"/>
      <c r="M38" s="10"/>
      <c r="N38" s="17"/>
      <c r="O38" s="17"/>
      <c r="P38" s="17"/>
      <c r="Q38" s="10"/>
      <c r="R38" s="17"/>
      <c r="S38" s="17"/>
      <c r="T38" s="17"/>
      <c r="U38" s="10"/>
      <c r="V38" s="17"/>
      <c r="W38" s="17"/>
      <c r="X38" s="17"/>
      <c r="Y38" s="10"/>
      <c r="Z38" s="17"/>
      <c r="AA38" s="17"/>
      <c r="AB38" s="17"/>
      <c r="AC38" s="10"/>
    </row>
    <row r="39" spans="1:31" x14ac:dyDescent="0.35">
      <c r="A39" s="27">
        <v>0.97916666666666596</v>
      </c>
      <c r="B39" s="10"/>
      <c r="C39" s="17"/>
      <c r="D39" s="17"/>
      <c r="E39" s="10"/>
      <c r="F39" s="17"/>
      <c r="G39" s="17"/>
      <c r="H39" s="17"/>
      <c r="I39" s="10"/>
      <c r="J39" s="17"/>
      <c r="K39" s="17"/>
      <c r="L39" s="17"/>
      <c r="M39" s="10"/>
      <c r="N39" s="17"/>
      <c r="O39" s="17"/>
      <c r="P39" s="17"/>
      <c r="Q39" s="10"/>
      <c r="R39" s="17"/>
      <c r="S39" s="17"/>
      <c r="T39" s="17"/>
      <c r="U39" s="10"/>
      <c r="V39" s="17"/>
      <c r="W39" s="17"/>
      <c r="X39" s="17"/>
      <c r="Y39" s="10"/>
      <c r="Z39" s="17"/>
      <c r="AA39" s="17"/>
      <c r="AB39" s="17"/>
      <c r="AC39" s="10"/>
    </row>
    <row r="40" spans="1:31" x14ac:dyDescent="0.35">
      <c r="A40" s="28">
        <v>1</v>
      </c>
      <c r="B40" s="16"/>
      <c r="C40" s="20"/>
      <c r="D40" s="20"/>
      <c r="E40" s="16"/>
      <c r="F40" s="20"/>
      <c r="G40" s="20"/>
      <c r="H40" s="20"/>
      <c r="I40" s="16"/>
      <c r="J40" s="20"/>
      <c r="K40" s="20"/>
      <c r="L40" s="20"/>
      <c r="M40" s="16"/>
      <c r="N40" s="20"/>
      <c r="O40" s="20"/>
      <c r="P40" s="20"/>
      <c r="Q40" s="16"/>
      <c r="R40" s="20"/>
      <c r="S40" s="20"/>
      <c r="T40" s="20"/>
      <c r="U40" s="16"/>
      <c r="V40" s="20"/>
      <c r="W40" s="20"/>
      <c r="X40" s="20"/>
      <c r="Y40" s="16"/>
      <c r="Z40" s="20"/>
      <c r="AA40" s="20"/>
      <c r="AB40" s="20"/>
      <c r="AC40" s="16"/>
    </row>
    <row r="41" spans="1:31" x14ac:dyDescent="0.35">
      <c r="A41" s="4" t="s">
        <v>44</v>
      </c>
      <c r="B41">
        <f>(colorfunction(D55,B6:B40, FALSE)/2)</f>
        <v>5</v>
      </c>
      <c r="C41">
        <f>(colorfunction(D55,C6:C40, FALSE)/2)</f>
        <v>6</v>
      </c>
      <c r="D41">
        <f>(colorfunction(D55,D6:D40, FALSE)/2)</f>
        <v>0</v>
      </c>
      <c r="E41">
        <f>(colorfunction(D55,E6:E40,FALSE)/2)</f>
        <v>2.5</v>
      </c>
      <c r="F41">
        <f>(colorfunction(D55,F6:F40, FALSE)/2)</f>
        <v>3</v>
      </c>
      <c r="G41">
        <f>(colorfunction(D55,G6:G40, FALSE)/2)</f>
        <v>3.5</v>
      </c>
      <c r="H41">
        <f>(colorfunction(D55,H6:H40, FALSE)/2)</f>
        <v>0</v>
      </c>
      <c r="I41">
        <f>(colorfunction(D55,I6:I40, FALSE)/2)</f>
        <v>4</v>
      </c>
      <c r="J41">
        <f>(colorfunction(D55,J6:J40, FALSE)/2)</f>
        <v>8</v>
      </c>
      <c r="K41">
        <f>(colorfunction(D55,K6:K40,FALSE)/2)</f>
        <v>10</v>
      </c>
      <c r="L41">
        <f>(colorfunction(D55,L6:L40, FALSE)/2)</f>
        <v>4.5</v>
      </c>
      <c r="M41">
        <f>(colorfunction(D55,M6:M40, FALSE)/2)</f>
        <v>10</v>
      </c>
      <c r="N41">
        <f>(colorfunction(D55,N6:N40, FALSE)/2)</f>
        <v>3</v>
      </c>
      <c r="O41">
        <f>(colorfunction(D55,O6:O40, FALSE)/2)</f>
        <v>3.5</v>
      </c>
      <c r="P41">
        <f>(colorfunction(D55,P6:P40, FALSE)/2)</f>
        <v>0</v>
      </c>
      <c r="Q41">
        <f>(colorfunction(D55,Q6:Q40,FALSE)/2)</f>
        <v>0</v>
      </c>
      <c r="R41">
        <f>(colorfunction(D55,R6:R40, FALSE)/2)</f>
        <v>0</v>
      </c>
      <c r="S41">
        <f>(colorfunction(D55,S6:S40, FALSE)/2)</f>
        <v>1.5</v>
      </c>
      <c r="T41">
        <f>(colorfunction(D55,T6:T40, FALSE)/2)</f>
        <v>0</v>
      </c>
      <c r="U41">
        <f>(colorfunction(D55,U6:U40, FALSE)/2)</f>
        <v>3</v>
      </c>
      <c r="V41">
        <f>(colorfunction(D55,V6:V40, FALSE)/2)</f>
        <v>0</v>
      </c>
      <c r="W41">
        <f>(colorfunction(D55,W6:W40,FALSE)/2)</f>
        <v>4.5</v>
      </c>
      <c r="X41">
        <f>(colorfunction(D55,X6:X40, FALSE)/2)</f>
        <v>0</v>
      </c>
      <c r="Y41">
        <f>(colorfunction(D55,Y6:Y40, FALSE)/2)</f>
        <v>5.5</v>
      </c>
      <c r="Z41">
        <f>(colorfunction(D55,Z6:Z40, FALSE)/2)</f>
        <v>0</v>
      </c>
      <c r="AA41">
        <f>(colorfunction(D55,AA6:AA40, FALSE)/2)</f>
        <v>0</v>
      </c>
      <c r="AB41">
        <f>(colorfunction(D55,AB6:AB40, FALSE)/2)</f>
        <v>0</v>
      </c>
      <c r="AC41">
        <f>(colorfunction(D55,AC6:AC40,FALSE)/2)</f>
        <v>0</v>
      </c>
      <c r="AE41"/>
    </row>
    <row r="47" spans="1:31" x14ac:dyDescent="0.35">
      <c r="B47" s="4" t="s">
        <v>45</v>
      </c>
      <c r="E47" s="4" t="s">
        <v>195</v>
      </c>
      <c r="F47" s="2" t="s">
        <v>196</v>
      </c>
      <c r="G47" s="57">
        <f>SUM(B41+F41+J41+N41+R41+V41+Z41)</f>
        <v>19</v>
      </c>
      <c r="H47" t="s">
        <v>200</v>
      </c>
    </row>
    <row r="48" spans="1:31" x14ac:dyDescent="0.35">
      <c r="B48" t="s">
        <v>58</v>
      </c>
      <c r="F48" s="2" t="s">
        <v>197</v>
      </c>
      <c r="G48" s="57">
        <f>SUM(G41+K41+O41+S41+W41+AA41)</f>
        <v>23</v>
      </c>
      <c r="H48" t="s">
        <v>200</v>
      </c>
    </row>
    <row r="49" spans="2:8" x14ac:dyDescent="0.35">
      <c r="B49" t="s">
        <v>47</v>
      </c>
      <c r="F49" s="2" t="s">
        <v>199</v>
      </c>
      <c r="G49" s="57">
        <f>SUM(D41+H41+L41+P41+T41+X41+AB41)</f>
        <v>4.5</v>
      </c>
      <c r="H49" t="s">
        <v>200</v>
      </c>
    </row>
    <row r="50" spans="2:8" x14ac:dyDescent="0.35">
      <c r="F50" s="56" t="s">
        <v>198</v>
      </c>
      <c r="G50" s="57">
        <f>SUM(E41+M41+Q41+U41+Y41+AC41)</f>
        <v>21</v>
      </c>
      <c r="H50" t="s">
        <v>200</v>
      </c>
    </row>
    <row r="51" spans="2:8" x14ac:dyDescent="0.35">
      <c r="B51" s="4" t="s">
        <v>48</v>
      </c>
      <c r="D51" s="4" t="s">
        <v>42</v>
      </c>
    </row>
    <row r="52" spans="2:8" x14ac:dyDescent="0.35">
      <c r="B52" t="s">
        <v>25</v>
      </c>
      <c r="D52" t="s">
        <v>43</v>
      </c>
    </row>
    <row r="53" spans="2:8" x14ac:dyDescent="0.35">
      <c r="B53" t="s">
        <v>26</v>
      </c>
      <c r="D53" s="9"/>
    </row>
    <row r="54" spans="2:8" x14ac:dyDescent="0.35">
      <c r="B54" t="s">
        <v>27</v>
      </c>
      <c r="D54" t="s">
        <v>41</v>
      </c>
    </row>
    <row r="55" spans="2:8" x14ac:dyDescent="0.35">
      <c r="B55" t="s">
        <v>28</v>
      </c>
      <c r="D55" s="14"/>
    </row>
  </sheetData>
  <mergeCells count="15">
    <mergeCell ref="V3:Y3"/>
    <mergeCell ref="Z3:AC3"/>
    <mergeCell ref="B4:E4"/>
    <mergeCell ref="F4:I4"/>
    <mergeCell ref="J4:M4"/>
    <mergeCell ref="N4:Q4"/>
    <mergeCell ref="R4:U4"/>
    <mergeCell ref="V4:Y4"/>
    <mergeCell ref="Z4:AC4"/>
    <mergeCell ref="R3:U3"/>
    <mergeCell ref="B2:E2"/>
    <mergeCell ref="B3:E3"/>
    <mergeCell ref="F3:I3"/>
    <mergeCell ref="J3:M3"/>
    <mergeCell ref="N3:Q3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Tagesplaner Übersicht</vt:lpstr>
      <vt:lpstr>Woche_38</vt:lpstr>
      <vt:lpstr>Woche_39</vt:lpstr>
      <vt:lpstr>Woche_40</vt:lpstr>
      <vt:lpstr>Woche_41</vt:lpstr>
      <vt:lpstr>Woche_42</vt:lpstr>
      <vt:lpstr>Woche_43</vt:lpstr>
      <vt:lpstr>Woche_44</vt:lpstr>
      <vt:lpstr>Woche_45</vt:lpstr>
      <vt:lpstr>Woche_46</vt:lpstr>
      <vt:lpstr>Woche_47</vt:lpstr>
      <vt:lpstr>Woche_48</vt:lpstr>
      <vt:lpstr>Woche_49</vt:lpstr>
      <vt:lpstr>Woche_50</vt:lpstr>
      <vt:lpstr>Woche_51</vt:lpstr>
      <vt:lpstr>Woche_52</vt:lpstr>
      <vt:lpstr>Woche_1</vt:lpstr>
      <vt:lpstr>Woche_2</vt:lpstr>
      <vt:lpstr>Woche_3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Dittli</dc:creator>
  <cp:lastModifiedBy>Fabian Kammermann</cp:lastModifiedBy>
  <cp:lastPrinted>2016-11-17T14:19:33Z</cp:lastPrinted>
  <dcterms:created xsi:type="dcterms:W3CDTF">2016-10-19T16:08:53Z</dcterms:created>
  <dcterms:modified xsi:type="dcterms:W3CDTF">2016-11-17T14:24:23Z</dcterms:modified>
</cp:coreProperties>
</file>