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kaf_crsr2ev\Documents\BFH\BFH\Systems Engineering\Dokumente Gruppe 6 (Dittli, Jolo, Kammermann, Lam)-20161117\02 Working Docs\"/>
    </mc:Choice>
  </mc:AlternateContent>
  <bookViews>
    <workbookView xWindow="0" yWindow="0" windowWidth="19200" windowHeight="6950" activeTab="1"/>
  </bookViews>
  <sheets>
    <sheet name="Ressourcenplanung" sheetId="2" r:id="rId1"/>
    <sheet name="Mitarbeiter" sheetId="1" r:id="rId2"/>
  </sheets>
  <calcPr calcId="162913"/>
</workbook>
</file>

<file path=xl/calcChain.xml><?xml version="1.0" encoding="utf-8"?>
<calcChain xmlns="http://schemas.openxmlformats.org/spreadsheetml/2006/main">
  <c r="B14" i="2" l="1"/>
  <c r="E6" i="1"/>
  <c r="F6" i="1" s="1"/>
  <c r="G6" i="1" s="1"/>
  <c r="H6" i="1" s="1"/>
  <c r="C26" i="1" l="1"/>
  <c r="E7" i="1"/>
  <c r="F7" i="1" s="1"/>
  <c r="G7" i="1" s="1"/>
  <c r="H7" i="1" s="1"/>
  <c r="E8" i="1"/>
  <c r="F8" i="1" s="1"/>
  <c r="G8" i="1" s="1"/>
  <c r="H8" i="1" s="1"/>
  <c r="E9" i="1"/>
  <c r="F9" i="1" s="1"/>
  <c r="G9" i="1" s="1"/>
  <c r="H9" i="1" s="1"/>
  <c r="E10" i="1"/>
  <c r="F10" i="1" s="1"/>
  <c r="G10" i="1" s="1"/>
  <c r="H10" i="1" s="1"/>
  <c r="E11" i="1"/>
  <c r="F11" i="1" s="1"/>
  <c r="G11" i="1" s="1"/>
  <c r="H11" i="1" s="1"/>
  <c r="E12" i="1"/>
  <c r="F12" i="1" s="1"/>
  <c r="G12" i="1" s="1"/>
  <c r="H12" i="1" s="1"/>
  <c r="E13" i="1"/>
  <c r="F13" i="1" s="1"/>
  <c r="G13" i="1" s="1"/>
  <c r="H13" i="1" s="1"/>
  <c r="E14" i="1"/>
  <c r="F14" i="1" s="1"/>
  <c r="G14" i="1" s="1"/>
  <c r="H14" i="1" s="1"/>
  <c r="E15" i="1"/>
  <c r="F15" i="1" s="1"/>
  <c r="G15" i="1" s="1"/>
  <c r="H15" i="1" s="1"/>
  <c r="E16" i="1"/>
  <c r="F16" i="1" s="1"/>
  <c r="G16" i="1" s="1"/>
  <c r="H16" i="1" s="1"/>
  <c r="E17" i="1"/>
  <c r="F17" i="1" s="1"/>
  <c r="G17" i="1" s="1"/>
  <c r="H17" i="1" s="1"/>
  <c r="E18" i="1"/>
  <c r="F18" i="1" s="1"/>
  <c r="G18" i="1" s="1"/>
  <c r="H18" i="1" s="1"/>
  <c r="E19" i="1"/>
  <c r="F19" i="1" s="1"/>
  <c r="G19" i="1" s="1"/>
  <c r="H19" i="1" s="1"/>
  <c r="E20" i="1"/>
  <c r="F20" i="1" s="1"/>
  <c r="G20" i="1" s="1"/>
  <c r="H20" i="1" s="1"/>
  <c r="E21" i="1"/>
  <c r="F21" i="1" s="1"/>
  <c r="G21" i="1" s="1"/>
  <c r="H21" i="1" s="1"/>
  <c r="E22" i="1"/>
  <c r="F22" i="1" s="1"/>
  <c r="G22" i="1" s="1"/>
  <c r="H22" i="1" s="1"/>
  <c r="E23" i="1"/>
  <c r="F23" i="1" s="1"/>
  <c r="G23" i="1" s="1"/>
  <c r="H23" i="1" s="1"/>
  <c r="E24" i="1"/>
  <c r="F24" i="1" s="1"/>
  <c r="G24" i="1" s="1"/>
  <c r="H24" i="1" s="1"/>
  <c r="E25" i="1"/>
  <c r="F25" i="1" s="1"/>
  <c r="G25" i="1" s="1"/>
  <c r="H25" i="1" s="1"/>
  <c r="G26" i="1" l="1"/>
  <c r="H26" i="1"/>
  <c r="B4" i="2" s="1"/>
  <c r="B26" i="2" s="1"/>
  <c r="F26" i="1"/>
  <c r="E26" i="1"/>
</calcChain>
</file>

<file path=xl/sharedStrings.xml><?xml version="1.0" encoding="utf-8"?>
<sst xmlns="http://schemas.openxmlformats.org/spreadsheetml/2006/main" count="61" uniqueCount="54">
  <si>
    <t>Kosten</t>
  </si>
  <si>
    <t>Server</t>
  </si>
  <si>
    <t>Webseite</t>
  </si>
  <si>
    <t>Firmenausflug</t>
  </si>
  <si>
    <t>Weihnachtsessen</t>
  </si>
  <si>
    <t>Ressourcenplanung für Spitalinformationssystem</t>
  </si>
  <si>
    <t>Lohn bei 100%</t>
  </si>
  <si>
    <t>Jahreslohn</t>
  </si>
  <si>
    <t>Monatslohn</t>
  </si>
  <si>
    <t>Chef Entwickler</t>
  </si>
  <si>
    <t>Entwickler</t>
  </si>
  <si>
    <t>Sekretärin</t>
  </si>
  <si>
    <t>Putzfrau</t>
  </si>
  <si>
    <t>Marketing/ Vertrieb</t>
  </si>
  <si>
    <t>Text &amp; Korrektorat</t>
  </si>
  <si>
    <t>Dokumentierer</t>
  </si>
  <si>
    <t>Designer</t>
  </si>
  <si>
    <t>stellv. Projektleiter</t>
  </si>
  <si>
    <t>Projektleiter</t>
  </si>
  <si>
    <t>Techniker/Informatiker</t>
  </si>
  <si>
    <t>Finanzverwalter</t>
  </si>
  <si>
    <t>Personalverantwortlicher</t>
  </si>
  <si>
    <t>Personalkosten inkl. Lohnnebenkosten</t>
  </si>
  <si>
    <t>Technik/ Geräte Anschaffung (PC, Drucker, Telefon etc.)</t>
  </si>
  <si>
    <t>Mobiliar (Stühl, Tische etc.)</t>
  </si>
  <si>
    <t>Kommunikation (Telefonkosten, Internet)</t>
  </si>
  <si>
    <t>Anmerkung</t>
  </si>
  <si>
    <r>
      <t>Immobilie (300m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)</t>
    </r>
  </si>
  <si>
    <r>
      <t>Preis pro m</t>
    </r>
    <r>
      <rPr>
        <sz val="12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und Jahr = 150.- </t>
    </r>
  </si>
  <si>
    <t>Nebenkosten Büro (Strom, Wasser, Heizung)</t>
  </si>
  <si>
    <t>Versicherungen (Mobilar)</t>
  </si>
  <si>
    <t>Reserve für unvorhergesehenes</t>
  </si>
  <si>
    <t>Promotion (Messen, Flyer etc.)</t>
  </si>
  <si>
    <t>Outsourcing (Programmierung, Testen)</t>
  </si>
  <si>
    <t>Weitere Geräte (Kühlschrank, Mikrowelle etc.)</t>
  </si>
  <si>
    <t>Weiteres Verbrauchsmaterial (Toilettenpapier etc.)</t>
  </si>
  <si>
    <t>Büromaterial (Papier, Kugelschreiber etc.)</t>
  </si>
  <si>
    <t>Umbaukosten Büro (Klimaanlage Serverraum)</t>
  </si>
  <si>
    <t>Software (MS Word, MS Excel, Outlook etc.)</t>
  </si>
  <si>
    <t>Zugriff auf Datenbanken</t>
  </si>
  <si>
    <t>Softwarelizenzen</t>
  </si>
  <si>
    <t>Firmenfahrzeug (Fahrzeug, Steuern, Versicherung, Unterhalt, Benzin, Beschriftung)</t>
  </si>
  <si>
    <t>Nr.</t>
  </si>
  <si>
    <t>Mitarbeiter (Funktion)</t>
  </si>
  <si>
    <t>Lohnkosten der Mitarbeiter</t>
  </si>
  <si>
    <t>Gesamtlohnkosten in 5 Jahren</t>
  </si>
  <si>
    <t>Jahreslohn mit Lohnnebenkosten*</t>
  </si>
  <si>
    <t>Beschäftigung in %</t>
  </si>
  <si>
    <t>Position</t>
  </si>
  <si>
    <t>Nach der Ressourcenplanung steht fest, dass wir einen Finanzbedarf von 13'972'400.- in 5 Jahren haben. Dieses Geld brauchen wir um unser Spitalinformationssystem zu entwickeln.</t>
  </si>
  <si>
    <t>Funktionen gegeben wie zum Beispiel Entwickler oder Putzfrau. Anschliessend haben wir festgelegt zu wie vielen Prozent jemand angestellt ist.</t>
  </si>
  <si>
    <t xml:space="preserve">Wir haben für unsere Firma die Mitarbeiterzahl 20 gewählt, verteilt auf 15,5 Vollzeitstellen. Um die Lohnkosten zu Schätzen haben wir unseren Mitarbeitern </t>
  </si>
  <si>
    <t>* Da der Jahreslohn noch keine Lohnnebenkosten der Arbeitgeberseite beinhaltet, muss auch dieser Teil noch dazu. Wir rechnen mit +50% des Jahreslohnes</t>
  </si>
  <si>
    <t>siehe Seite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</si>
</sst>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 val="doubleAccounting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Border="1"/>
    <xf numFmtId="0" fontId="0" fillId="0" borderId="0" xfId="0" applyFont="1" applyFill="1" applyBorder="1" applyAlignment="1">
      <alignment vertical="center" wrapText="1"/>
    </xf>
    <xf numFmtId="43" fontId="0" fillId="0" borderId="0" xfId="1" applyFont="1" applyFill="1" applyBorder="1" applyAlignment="1">
      <alignment vertical="center" wrapText="1"/>
    </xf>
    <xf numFmtId="43" fontId="0" fillId="0" borderId="0" xfId="1" applyFont="1"/>
    <xf numFmtId="0" fontId="0" fillId="0" borderId="0" xfId="0" quotePrefix="1"/>
    <xf numFmtId="43" fontId="0" fillId="0" borderId="0" xfId="0" applyNumberFormat="1"/>
    <xf numFmtId="43" fontId="2" fillId="0" borderId="0" xfId="0" applyNumberFormat="1" applyFont="1"/>
    <xf numFmtId="0" fontId="5" fillId="0" borderId="0" xfId="0" applyFont="1"/>
    <xf numFmtId="0" fontId="5" fillId="0" borderId="0" xfId="0" applyFont="1" applyBorder="1" applyAlignment="1">
      <alignment vertical="center" wrapText="1"/>
    </xf>
    <xf numFmtId="0" fontId="2" fillId="0" borderId="1" xfId="0" applyFont="1" applyBorder="1"/>
    <xf numFmtId="0" fontId="2" fillId="0" borderId="3" xfId="0" applyFont="1" applyBorder="1"/>
    <xf numFmtId="0" fontId="0" fillId="0" borderId="2" xfId="0" applyBorder="1"/>
    <xf numFmtId="0" fontId="2" fillId="0" borderId="5" xfId="0" applyFont="1" applyBorder="1"/>
    <xf numFmtId="0" fontId="0" fillId="2" borderId="2" xfId="0" applyFill="1" applyBorder="1"/>
    <xf numFmtId="0" fontId="0" fillId="2" borderId="0" xfId="0" applyFill="1"/>
    <xf numFmtId="9" fontId="0" fillId="2" borderId="4" xfId="0" applyNumberFormat="1" applyFill="1" applyBorder="1"/>
    <xf numFmtId="9" fontId="0" fillId="0" borderId="4" xfId="0" applyNumberFormat="1" applyBorder="1"/>
    <xf numFmtId="9" fontId="0" fillId="0" borderId="5" xfId="0" applyNumberFormat="1" applyBorder="1"/>
    <xf numFmtId="9" fontId="2" fillId="0" borderId="0" xfId="0" applyNumberFormat="1" applyFont="1"/>
    <xf numFmtId="0" fontId="0" fillId="0" borderId="2" xfId="0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43" fontId="0" fillId="0" borderId="4" xfId="1" applyFont="1" applyBorder="1" applyAlignment="1">
      <alignment horizontal="right" vertical="center" wrapText="1"/>
    </xf>
    <xf numFmtId="43" fontId="0" fillId="0" borderId="4" xfId="1" applyFont="1" applyFill="1" applyBorder="1" applyAlignment="1">
      <alignment horizontal="right" vertical="center" wrapText="1"/>
    </xf>
    <xf numFmtId="43" fontId="7" fillId="3" borderId="0" xfId="0" applyNumberFormat="1" applyFont="1" applyFill="1" applyAlignment="1">
      <alignment horizontal="right"/>
    </xf>
    <xf numFmtId="43" fontId="0" fillId="2" borderId="0" xfId="0" applyNumberFormat="1" applyFill="1"/>
    <xf numFmtId="43" fontId="0" fillId="2" borderId="2" xfId="0" applyNumberFormat="1" applyFill="1" applyBorder="1"/>
    <xf numFmtId="43" fontId="0" fillId="2" borderId="4" xfId="0" applyNumberFormat="1" applyFill="1" applyBorder="1"/>
    <xf numFmtId="43" fontId="0" fillId="0" borderId="2" xfId="0" applyNumberFormat="1" applyBorder="1"/>
    <xf numFmtId="43" fontId="0" fillId="0" borderId="4" xfId="0" applyNumberFormat="1" applyBorder="1"/>
    <xf numFmtId="43" fontId="0" fillId="0" borderId="3" xfId="0" applyNumberFormat="1" applyBorder="1"/>
    <xf numFmtId="43" fontId="0" fillId="0" borderId="5" xfId="0" applyNumberFormat="1" applyBorder="1"/>
    <xf numFmtId="43" fontId="0" fillId="0" borderId="1" xfId="0" applyNumberFormat="1" applyBorder="1"/>
    <xf numFmtId="0" fontId="0" fillId="0" borderId="0" xfId="0" applyAlignment="1">
      <alignment horizontal="center"/>
    </xf>
    <xf numFmtId="0" fontId="0" fillId="2" borderId="2" xfId="0" applyFill="1" applyBorder="1" applyAlignment="1">
      <alignment vertical="center" wrapText="1"/>
    </xf>
    <xf numFmtId="43" fontId="0" fillId="2" borderId="4" xfId="1" applyFont="1" applyFill="1" applyBorder="1" applyAlignment="1">
      <alignment horizontal="right" vertical="center" wrapText="1"/>
    </xf>
    <xf numFmtId="0" fontId="0" fillId="2" borderId="2" xfId="0" applyFont="1" applyFill="1" applyBorder="1" applyAlignment="1">
      <alignment vertical="center"/>
    </xf>
    <xf numFmtId="0" fontId="0" fillId="2" borderId="0" xfId="0" quotePrefix="1" applyFill="1"/>
    <xf numFmtId="0" fontId="0" fillId="2" borderId="2" xfId="0" applyFont="1" applyFill="1" applyBorder="1" applyAlignment="1">
      <alignment vertical="center" wrapText="1"/>
    </xf>
    <xf numFmtId="43" fontId="0" fillId="2" borderId="4" xfId="1" applyFont="1" applyFill="1" applyBorder="1" applyAlignment="1">
      <alignment horizontal="right"/>
    </xf>
    <xf numFmtId="43" fontId="6" fillId="3" borderId="0" xfId="0" applyNumberFormat="1" applyFont="1" applyFill="1"/>
    <xf numFmtId="0" fontId="0" fillId="0" borderId="0" xfId="0" applyAlignment="1">
      <alignment vertical="center"/>
    </xf>
    <xf numFmtId="0" fontId="0" fillId="0" borderId="0" xfId="0"/>
    <xf numFmtId="0" fontId="0" fillId="0" borderId="0" xfId="0" applyFont="1" applyFill="1" applyBorder="1" applyAlignment="1">
      <alignment vertical="center" wrapText="1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view="pageLayout" topLeftCell="A14" zoomScaleNormal="100" workbookViewId="0">
      <selection activeCell="C5" sqref="C5"/>
    </sheetView>
  </sheetViews>
  <sheetFormatPr baseColWidth="10" defaultRowHeight="14.5" x14ac:dyDescent="0.35"/>
  <cols>
    <col min="1" max="1" width="46.6328125" customWidth="1"/>
    <col min="2" max="2" width="13.26953125" customWidth="1"/>
    <col min="3" max="3" width="25.81640625" customWidth="1"/>
  </cols>
  <sheetData>
    <row r="1" spans="1:3" ht="26" x14ac:dyDescent="0.6">
      <c r="A1" s="8" t="s">
        <v>5</v>
      </c>
    </row>
    <row r="2" spans="1:3" ht="26" x14ac:dyDescent="0.35">
      <c r="A2" s="9"/>
    </row>
    <row r="3" spans="1:3" x14ac:dyDescent="0.35">
      <c r="A3" s="11" t="s">
        <v>48</v>
      </c>
      <c r="B3" s="23" t="s">
        <v>0</v>
      </c>
      <c r="C3" s="10" t="s">
        <v>26</v>
      </c>
    </row>
    <row r="4" spans="1:3" x14ac:dyDescent="0.35">
      <c r="A4" s="36" t="s">
        <v>22</v>
      </c>
      <c r="B4" s="37">
        <f>Mitarbeiter!H26</f>
        <v>11597400</v>
      </c>
      <c r="C4" s="15" t="s">
        <v>53</v>
      </c>
    </row>
    <row r="5" spans="1:3" x14ac:dyDescent="0.35">
      <c r="A5" s="21" t="s">
        <v>3</v>
      </c>
      <c r="B5" s="24">
        <v>10000</v>
      </c>
    </row>
    <row r="6" spans="1:3" x14ac:dyDescent="0.35">
      <c r="A6" s="38" t="s">
        <v>4</v>
      </c>
      <c r="B6" s="37">
        <v>10000</v>
      </c>
      <c r="C6" s="15"/>
    </row>
    <row r="7" spans="1:3" ht="14.5" customHeight="1" x14ac:dyDescent="0.35">
      <c r="A7" s="20" t="s">
        <v>23</v>
      </c>
      <c r="B7" s="24">
        <v>80000</v>
      </c>
    </row>
    <row r="8" spans="1:3" x14ac:dyDescent="0.35">
      <c r="A8" s="36" t="s">
        <v>1</v>
      </c>
      <c r="B8" s="37">
        <v>125000</v>
      </c>
      <c r="C8" s="15"/>
    </row>
    <row r="9" spans="1:3" x14ac:dyDescent="0.35">
      <c r="A9" s="20" t="s">
        <v>34</v>
      </c>
      <c r="B9" s="24">
        <v>10000</v>
      </c>
    </row>
    <row r="10" spans="1:3" x14ac:dyDescent="0.35">
      <c r="A10" s="36" t="s">
        <v>36</v>
      </c>
      <c r="B10" s="37">
        <v>40000</v>
      </c>
      <c r="C10" s="15"/>
    </row>
    <row r="11" spans="1:3" x14ac:dyDescent="0.35">
      <c r="A11" s="20" t="s">
        <v>35</v>
      </c>
      <c r="B11" s="24">
        <v>25000</v>
      </c>
    </row>
    <row r="12" spans="1:3" x14ac:dyDescent="0.35">
      <c r="A12" s="36" t="s">
        <v>24</v>
      </c>
      <c r="B12" s="37">
        <v>40000</v>
      </c>
      <c r="C12" s="15"/>
    </row>
    <row r="13" spans="1:3" x14ac:dyDescent="0.35">
      <c r="A13" s="20" t="s">
        <v>25</v>
      </c>
      <c r="B13" s="24">
        <v>60000</v>
      </c>
    </row>
    <row r="14" spans="1:3" ht="16.5" x14ac:dyDescent="0.35">
      <c r="A14" s="36" t="s">
        <v>27</v>
      </c>
      <c r="B14" s="37">
        <f>(300*150)*5</f>
        <v>225000</v>
      </c>
      <c r="C14" s="39" t="s">
        <v>28</v>
      </c>
    </row>
    <row r="15" spans="1:3" x14ac:dyDescent="0.35">
      <c r="A15" s="20" t="s">
        <v>37</v>
      </c>
      <c r="B15" s="24">
        <v>200000</v>
      </c>
      <c r="C15" s="5"/>
    </row>
    <row r="16" spans="1:3" x14ac:dyDescent="0.35">
      <c r="A16" s="36" t="s">
        <v>29</v>
      </c>
      <c r="B16" s="37">
        <v>45000</v>
      </c>
      <c r="C16" s="39"/>
    </row>
    <row r="17" spans="1:3" ht="29" customHeight="1" x14ac:dyDescent="0.35">
      <c r="A17" s="20" t="s">
        <v>41</v>
      </c>
      <c r="B17" s="24">
        <v>70000</v>
      </c>
    </row>
    <row r="18" spans="1:3" x14ac:dyDescent="0.35">
      <c r="A18" s="36" t="s">
        <v>2</v>
      </c>
      <c r="B18" s="37">
        <v>5000</v>
      </c>
      <c r="C18" s="15"/>
    </row>
    <row r="19" spans="1:3" x14ac:dyDescent="0.35">
      <c r="A19" s="22" t="s">
        <v>38</v>
      </c>
      <c r="B19" s="25">
        <v>60000</v>
      </c>
    </row>
    <row r="20" spans="1:3" x14ac:dyDescent="0.35">
      <c r="A20" s="40" t="s">
        <v>40</v>
      </c>
      <c r="B20" s="41">
        <v>100000</v>
      </c>
      <c r="C20" s="15"/>
    </row>
    <row r="21" spans="1:3" x14ac:dyDescent="0.35">
      <c r="A21" s="20" t="s">
        <v>39</v>
      </c>
      <c r="B21" s="24">
        <v>20000</v>
      </c>
    </row>
    <row r="22" spans="1:3" x14ac:dyDescent="0.35">
      <c r="A22" s="36" t="s">
        <v>30</v>
      </c>
      <c r="B22" s="37">
        <v>50000</v>
      </c>
      <c r="C22" s="15"/>
    </row>
    <row r="23" spans="1:3" x14ac:dyDescent="0.35">
      <c r="A23" s="22" t="s">
        <v>33</v>
      </c>
      <c r="B23" s="25">
        <v>1000000</v>
      </c>
    </row>
    <row r="24" spans="1:3" x14ac:dyDescent="0.35">
      <c r="A24" s="40" t="s">
        <v>32</v>
      </c>
      <c r="B24" s="37">
        <v>100000</v>
      </c>
      <c r="C24" s="15"/>
    </row>
    <row r="25" spans="1:3" x14ac:dyDescent="0.35">
      <c r="A25" s="22" t="s">
        <v>31</v>
      </c>
      <c r="B25" s="25">
        <v>100000</v>
      </c>
    </row>
    <row r="26" spans="1:3" ht="16" x14ac:dyDescent="0.5">
      <c r="B26" s="26">
        <f>SUM(B4:B25)</f>
        <v>13972400</v>
      </c>
    </row>
    <row r="28" spans="1:3" ht="43.5" customHeight="1" x14ac:dyDescent="0.35">
      <c r="A28" s="45" t="s">
        <v>49</v>
      </c>
      <c r="B28" s="45"/>
      <c r="C28" s="45"/>
    </row>
    <row r="39" spans="1:3" x14ac:dyDescent="0.35">
      <c r="A39" s="35"/>
      <c r="B39" s="35"/>
      <c r="C39" s="35"/>
    </row>
  </sheetData>
  <mergeCells count="1">
    <mergeCell ref="A28:C28"/>
  </mergeCells>
  <pageMargins left="0.7" right="0.7" top="0.78740157499999996" bottom="0.78740157499999996" header="0.3" footer="0.3"/>
  <pageSetup paperSize="9" orientation="portrait" r:id="rId1"/>
  <headerFooter>
    <oddHeader>&amp;LGruppe 6 (Dittli, Jolo, Kammermann, Lam)</oddHeader>
    <oddFooter>&amp;C1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view="pageLayout" zoomScale="80" zoomScaleNormal="100" zoomScalePageLayoutView="80" workbookViewId="0">
      <selection sqref="A1:XFD1"/>
    </sheetView>
  </sheetViews>
  <sheetFormatPr baseColWidth="10" defaultRowHeight="14.5" x14ac:dyDescent="0.35"/>
  <cols>
    <col min="1" max="1" width="3.26953125" customWidth="1"/>
    <col min="2" max="2" width="21.1796875" customWidth="1"/>
    <col min="3" max="3" width="16.453125" customWidth="1"/>
    <col min="4" max="4" width="13" customWidth="1"/>
    <col min="5" max="5" width="11.08984375" customWidth="1"/>
    <col min="6" max="6" width="12.453125" customWidth="1"/>
    <col min="7" max="7" width="29.36328125" customWidth="1"/>
    <col min="8" max="8" width="26" customWidth="1"/>
    <col min="9" max="9" width="14.1796875" bestFit="1" customWidth="1"/>
  </cols>
  <sheetData>
    <row r="1" spans="1:10" ht="26" x14ac:dyDescent="0.6">
      <c r="A1" s="8" t="s">
        <v>44</v>
      </c>
    </row>
    <row r="2" spans="1:10" x14ac:dyDescent="0.35">
      <c r="A2" s="43" t="s">
        <v>51</v>
      </c>
      <c r="B2" s="43"/>
      <c r="C2" s="43"/>
      <c r="D2" s="43"/>
      <c r="E2" s="43"/>
      <c r="F2" s="43"/>
      <c r="G2" s="43"/>
      <c r="H2" s="43"/>
    </row>
    <row r="3" spans="1:10" x14ac:dyDescent="0.35">
      <c r="A3" s="43" t="s">
        <v>50</v>
      </c>
      <c r="B3" s="43"/>
      <c r="C3" s="43"/>
      <c r="D3" s="43"/>
      <c r="E3" s="43"/>
      <c r="F3" s="43"/>
      <c r="G3" s="43"/>
      <c r="H3" s="43"/>
    </row>
    <row r="5" spans="1:10" x14ac:dyDescent="0.35">
      <c r="A5" s="11" t="s">
        <v>42</v>
      </c>
      <c r="B5" s="11" t="s">
        <v>43</v>
      </c>
      <c r="C5" s="13" t="s">
        <v>47</v>
      </c>
      <c r="D5" s="11" t="s">
        <v>6</v>
      </c>
      <c r="E5" s="13" t="s">
        <v>8</v>
      </c>
      <c r="F5" s="13" t="s">
        <v>7</v>
      </c>
      <c r="G5" s="11" t="s">
        <v>46</v>
      </c>
      <c r="H5" s="10" t="s">
        <v>45</v>
      </c>
    </row>
    <row r="6" spans="1:10" x14ac:dyDescent="0.35">
      <c r="A6" s="14">
        <v>1</v>
      </c>
      <c r="B6" s="14" t="s">
        <v>9</v>
      </c>
      <c r="C6" s="16">
        <v>1</v>
      </c>
      <c r="D6" s="28">
        <v>10000</v>
      </c>
      <c r="E6" s="29">
        <f>(D6/C6)*C6</f>
        <v>10000</v>
      </c>
      <c r="F6" s="29">
        <f>E6*12</f>
        <v>120000</v>
      </c>
      <c r="G6" s="28">
        <f>F6*1.5</f>
        <v>180000</v>
      </c>
      <c r="H6" s="27">
        <f>G6*5</f>
        <v>900000</v>
      </c>
    </row>
    <row r="7" spans="1:10" x14ac:dyDescent="0.35">
      <c r="A7" s="12">
        <v>2</v>
      </c>
      <c r="B7" s="12" t="s">
        <v>10</v>
      </c>
      <c r="C7" s="17">
        <v>1</v>
      </c>
      <c r="D7" s="30">
        <v>8000</v>
      </c>
      <c r="E7" s="31">
        <f>(D7/C6)*C7</f>
        <v>8000</v>
      </c>
      <c r="F7" s="31">
        <f>E7*12</f>
        <v>96000</v>
      </c>
      <c r="G7" s="30">
        <f t="shared" ref="G7:G25" si="0">F7*1.5</f>
        <v>144000</v>
      </c>
      <c r="H7" s="6">
        <f t="shared" ref="H7:H25" si="1">G7*5</f>
        <v>720000</v>
      </c>
      <c r="I7" s="1"/>
      <c r="J7" s="1"/>
    </row>
    <row r="8" spans="1:10" x14ac:dyDescent="0.35">
      <c r="A8" s="14">
        <v>3</v>
      </c>
      <c r="B8" s="14" t="s">
        <v>10</v>
      </c>
      <c r="C8" s="16">
        <v>1</v>
      </c>
      <c r="D8" s="28">
        <v>8000</v>
      </c>
      <c r="E8" s="29">
        <f>(D8/C6)*C8</f>
        <v>8000</v>
      </c>
      <c r="F8" s="29">
        <f t="shared" ref="F8:F25" si="2">E8*12</f>
        <v>96000</v>
      </c>
      <c r="G8" s="28">
        <f t="shared" si="0"/>
        <v>144000</v>
      </c>
      <c r="H8" s="27">
        <f t="shared" si="1"/>
        <v>720000</v>
      </c>
      <c r="J8" s="1"/>
    </row>
    <row r="9" spans="1:10" x14ac:dyDescent="0.35">
      <c r="A9" s="12">
        <v>4</v>
      </c>
      <c r="B9" s="12" t="s">
        <v>10</v>
      </c>
      <c r="C9" s="17">
        <v>0.8</v>
      </c>
      <c r="D9" s="30">
        <v>8000</v>
      </c>
      <c r="E9" s="31">
        <f>(D9/C6)*C9</f>
        <v>6400</v>
      </c>
      <c r="F9" s="31">
        <f t="shared" si="2"/>
        <v>76800</v>
      </c>
      <c r="G9" s="30">
        <f t="shared" si="0"/>
        <v>115200</v>
      </c>
      <c r="H9" s="6">
        <f t="shared" si="1"/>
        <v>576000</v>
      </c>
      <c r="J9" s="1"/>
    </row>
    <row r="10" spans="1:10" x14ac:dyDescent="0.35">
      <c r="A10" s="14">
        <v>5</v>
      </c>
      <c r="B10" s="14" t="s">
        <v>10</v>
      </c>
      <c r="C10" s="16">
        <v>0.6</v>
      </c>
      <c r="D10" s="28">
        <v>8000</v>
      </c>
      <c r="E10" s="29">
        <f>(D10/C6)*C10</f>
        <v>4800</v>
      </c>
      <c r="F10" s="29">
        <f t="shared" si="2"/>
        <v>57600</v>
      </c>
      <c r="G10" s="28">
        <f t="shared" si="0"/>
        <v>86400</v>
      </c>
      <c r="H10" s="27">
        <f t="shared" si="1"/>
        <v>432000</v>
      </c>
      <c r="J10" s="1"/>
    </row>
    <row r="11" spans="1:10" x14ac:dyDescent="0.35">
      <c r="A11" s="12">
        <v>6</v>
      </c>
      <c r="B11" s="12" t="s">
        <v>10</v>
      </c>
      <c r="C11" s="17">
        <v>0.5</v>
      </c>
      <c r="D11" s="30">
        <v>8000</v>
      </c>
      <c r="E11" s="31">
        <f>(D11/C6)*C11</f>
        <v>4000</v>
      </c>
      <c r="F11" s="31">
        <f t="shared" si="2"/>
        <v>48000</v>
      </c>
      <c r="G11" s="30">
        <f t="shared" si="0"/>
        <v>72000</v>
      </c>
      <c r="H11" s="6">
        <f t="shared" si="1"/>
        <v>360000</v>
      </c>
      <c r="J11" s="1"/>
    </row>
    <row r="12" spans="1:10" x14ac:dyDescent="0.35">
      <c r="A12" s="14">
        <v>7</v>
      </c>
      <c r="B12" s="14" t="s">
        <v>10</v>
      </c>
      <c r="C12" s="16">
        <v>0.4</v>
      </c>
      <c r="D12" s="28">
        <v>8000</v>
      </c>
      <c r="E12" s="29">
        <f>(D12/C6)*C12</f>
        <v>3200</v>
      </c>
      <c r="F12" s="29">
        <f t="shared" si="2"/>
        <v>38400</v>
      </c>
      <c r="G12" s="28">
        <f t="shared" si="0"/>
        <v>57600</v>
      </c>
      <c r="H12" s="27">
        <f t="shared" si="1"/>
        <v>288000</v>
      </c>
      <c r="J12" s="1"/>
    </row>
    <row r="13" spans="1:10" x14ac:dyDescent="0.35">
      <c r="A13" s="12">
        <v>8</v>
      </c>
      <c r="B13" s="12" t="s">
        <v>19</v>
      </c>
      <c r="C13" s="17">
        <v>1</v>
      </c>
      <c r="D13" s="30">
        <v>6000</v>
      </c>
      <c r="E13" s="31">
        <f>(D13/C6)*C13</f>
        <v>6000</v>
      </c>
      <c r="F13" s="31">
        <f t="shared" si="2"/>
        <v>72000</v>
      </c>
      <c r="G13" s="30">
        <f t="shared" si="0"/>
        <v>108000</v>
      </c>
      <c r="H13" s="6">
        <f t="shared" si="1"/>
        <v>540000</v>
      </c>
      <c r="J13" s="1"/>
    </row>
    <row r="14" spans="1:10" x14ac:dyDescent="0.35">
      <c r="A14" s="14">
        <v>9</v>
      </c>
      <c r="B14" s="14" t="s">
        <v>20</v>
      </c>
      <c r="C14" s="16">
        <v>0.6</v>
      </c>
      <c r="D14" s="28">
        <v>7500</v>
      </c>
      <c r="E14" s="29">
        <f>(D14/C6)*C14</f>
        <v>4500</v>
      </c>
      <c r="F14" s="29">
        <f t="shared" si="2"/>
        <v>54000</v>
      </c>
      <c r="G14" s="28">
        <f t="shared" si="0"/>
        <v>81000</v>
      </c>
      <c r="H14" s="27">
        <f t="shared" si="1"/>
        <v>405000</v>
      </c>
      <c r="J14" s="1"/>
    </row>
    <row r="15" spans="1:10" x14ac:dyDescent="0.35">
      <c r="A15" s="12">
        <v>10</v>
      </c>
      <c r="B15" s="12" t="s">
        <v>21</v>
      </c>
      <c r="C15" s="17">
        <v>1</v>
      </c>
      <c r="D15" s="30">
        <v>8500</v>
      </c>
      <c r="E15" s="31">
        <f>(D15/C6)*C15</f>
        <v>8500</v>
      </c>
      <c r="F15" s="31">
        <f t="shared" si="2"/>
        <v>102000</v>
      </c>
      <c r="G15" s="30">
        <f t="shared" si="0"/>
        <v>153000</v>
      </c>
      <c r="H15" s="6">
        <f t="shared" si="1"/>
        <v>765000</v>
      </c>
      <c r="J15" s="1"/>
    </row>
    <row r="16" spans="1:10" x14ac:dyDescent="0.35">
      <c r="A16" s="14">
        <v>11</v>
      </c>
      <c r="B16" s="14" t="s">
        <v>18</v>
      </c>
      <c r="C16" s="16">
        <v>1</v>
      </c>
      <c r="D16" s="28">
        <v>12000</v>
      </c>
      <c r="E16" s="29">
        <f t="shared" ref="E16" si="3">(D16/C14)*C16</f>
        <v>20000</v>
      </c>
      <c r="F16" s="29">
        <f t="shared" si="2"/>
        <v>240000</v>
      </c>
      <c r="G16" s="28">
        <f t="shared" si="0"/>
        <v>360000</v>
      </c>
      <c r="H16" s="27">
        <f t="shared" si="1"/>
        <v>1800000</v>
      </c>
      <c r="J16" s="1"/>
    </row>
    <row r="17" spans="1:10" x14ac:dyDescent="0.35">
      <c r="A17" s="12">
        <v>12</v>
      </c>
      <c r="B17" s="12" t="s">
        <v>17</v>
      </c>
      <c r="C17" s="17">
        <v>1</v>
      </c>
      <c r="D17" s="30">
        <v>10000</v>
      </c>
      <c r="E17" s="31">
        <f>(D17/C6)*C17</f>
        <v>10000</v>
      </c>
      <c r="F17" s="31">
        <f t="shared" si="2"/>
        <v>120000</v>
      </c>
      <c r="G17" s="30">
        <f t="shared" si="0"/>
        <v>180000</v>
      </c>
      <c r="H17" s="6">
        <f t="shared" si="1"/>
        <v>900000</v>
      </c>
      <c r="J17" s="1"/>
    </row>
    <row r="18" spans="1:10" x14ac:dyDescent="0.35">
      <c r="A18" s="14">
        <v>13</v>
      </c>
      <c r="B18" s="14" t="s">
        <v>16</v>
      </c>
      <c r="C18" s="16">
        <v>1</v>
      </c>
      <c r="D18" s="28">
        <v>8000</v>
      </c>
      <c r="E18" s="29">
        <f>(D18/C6)*C18</f>
        <v>8000</v>
      </c>
      <c r="F18" s="29">
        <f t="shared" si="2"/>
        <v>96000</v>
      </c>
      <c r="G18" s="28">
        <f t="shared" si="0"/>
        <v>144000</v>
      </c>
      <c r="H18" s="27">
        <f t="shared" si="1"/>
        <v>720000</v>
      </c>
      <c r="J18" s="1"/>
    </row>
    <row r="19" spans="1:10" x14ac:dyDescent="0.35">
      <c r="A19" s="12">
        <v>14</v>
      </c>
      <c r="B19" s="12" t="s">
        <v>15</v>
      </c>
      <c r="C19" s="17">
        <v>1</v>
      </c>
      <c r="D19" s="30">
        <v>7000</v>
      </c>
      <c r="E19" s="31">
        <f>(D19/C6)*C19</f>
        <v>7000</v>
      </c>
      <c r="F19" s="31">
        <f t="shared" si="2"/>
        <v>84000</v>
      </c>
      <c r="G19" s="30">
        <f t="shared" si="0"/>
        <v>126000</v>
      </c>
      <c r="H19" s="6">
        <f t="shared" si="1"/>
        <v>630000</v>
      </c>
      <c r="J19" s="1"/>
    </row>
    <row r="20" spans="1:10" x14ac:dyDescent="0.35">
      <c r="A20" s="14">
        <v>15</v>
      </c>
      <c r="B20" s="14" t="s">
        <v>14</v>
      </c>
      <c r="C20" s="16">
        <v>0.5</v>
      </c>
      <c r="D20" s="28">
        <v>5000</v>
      </c>
      <c r="E20" s="29">
        <f>(D20/C6)*C20</f>
        <v>2500</v>
      </c>
      <c r="F20" s="29">
        <f t="shared" si="2"/>
        <v>30000</v>
      </c>
      <c r="G20" s="28">
        <f t="shared" si="0"/>
        <v>45000</v>
      </c>
      <c r="H20" s="27">
        <f t="shared" si="1"/>
        <v>225000</v>
      </c>
      <c r="J20" s="1"/>
    </row>
    <row r="21" spans="1:10" x14ac:dyDescent="0.35">
      <c r="A21" s="12">
        <v>16</v>
      </c>
      <c r="B21" s="12" t="s">
        <v>13</v>
      </c>
      <c r="C21" s="17">
        <v>1</v>
      </c>
      <c r="D21" s="30">
        <v>7500</v>
      </c>
      <c r="E21" s="31">
        <f>(D21/C6)*C21</f>
        <v>7500</v>
      </c>
      <c r="F21" s="31">
        <f t="shared" si="2"/>
        <v>90000</v>
      </c>
      <c r="G21" s="30">
        <f t="shared" si="0"/>
        <v>135000</v>
      </c>
      <c r="H21" s="6">
        <f t="shared" si="1"/>
        <v>675000</v>
      </c>
      <c r="J21" s="1"/>
    </row>
    <row r="22" spans="1:10" x14ac:dyDescent="0.35">
      <c r="A22" s="14">
        <v>17</v>
      </c>
      <c r="B22" s="14" t="s">
        <v>12</v>
      </c>
      <c r="C22" s="16">
        <v>0.2</v>
      </c>
      <c r="D22" s="28">
        <v>4200</v>
      </c>
      <c r="E22" s="29">
        <f>(D22/C6)*C22</f>
        <v>840</v>
      </c>
      <c r="F22" s="29">
        <f t="shared" si="2"/>
        <v>10080</v>
      </c>
      <c r="G22" s="28">
        <f t="shared" si="0"/>
        <v>15120</v>
      </c>
      <c r="H22" s="27">
        <f t="shared" si="1"/>
        <v>75600</v>
      </c>
    </row>
    <row r="23" spans="1:10" x14ac:dyDescent="0.35">
      <c r="A23" s="12">
        <v>18</v>
      </c>
      <c r="B23" s="12" t="s">
        <v>11</v>
      </c>
      <c r="C23" s="17">
        <v>1</v>
      </c>
      <c r="D23" s="30">
        <v>5200</v>
      </c>
      <c r="E23" s="31">
        <f>(D23/C6)*C23</f>
        <v>5200</v>
      </c>
      <c r="F23" s="31">
        <f t="shared" si="2"/>
        <v>62400</v>
      </c>
      <c r="G23" s="30">
        <f t="shared" si="0"/>
        <v>93600</v>
      </c>
      <c r="H23" s="6">
        <f t="shared" si="1"/>
        <v>468000</v>
      </c>
    </row>
    <row r="24" spans="1:10" x14ac:dyDescent="0.35">
      <c r="A24" s="14">
        <v>19</v>
      </c>
      <c r="B24" s="14" t="s">
        <v>11</v>
      </c>
      <c r="C24" s="16">
        <v>0.5</v>
      </c>
      <c r="D24" s="28">
        <v>5000</v>
      </c>
      <c r="E24" s="29">
        <f>(D24/C6)*C24</f>
        <v>2500</v>
      </c>
      <c r="F24" s="29">
        <f t="shared" si="2"/>
        <v>30000</v>
      </c>
      <c r="G24" s="28">
        <f t="shared" si="0"/>
        <v>45000</v>
      </c>
      <c r="H24" s="27">
        <f t="shared" si="1"/>
        <v>225000</v>
      </c>
    </row>
    <row r="25" spans="1:10" x14ac:dyDescent="0.35">
      <c r="A25" s="12">
        <v>20</v>
      </c>
      <c r="B25" s="12" t="s">
        <v>11</v>
      </c>
      <c r="C25" s="18">
        <v>0.4</v>
      </c>
      <c r="D25" s="32">
        <v>4800</v>
      </c>
      <c r="E25" s="33">
        <f>(D25/C6)*C25</f>
        <v>1920</v>
      </c>
      <c r="F25" s="33">
        <f t="shared" si="2"/>
        <v>23040</v>
      </c>
      <c r="G25" s="32">
        <f t="shared" si="0"/>
        <v>34560</v>
      </c>
      <c r="H25" s="34">
        <f t="shared" si="1"/>
        <v>172800</v>
      </c>
    </row>
    <row r="26" spans="1:10" ht="16" x14ac:dyDescent="0.5">
      <c r="C26" s="19">
        <f>SUM(C6:C25)</f>
        <v>15.499999999999998</v>
      </c>
      <c r="D26" s="6"/>
      <c r="E26" s="7">
        <f>SUM(E6:E25)</f>
        <v>128860</v>
      </c>
      <c r="F26" s="7">
        <f>SUM(F6:F25)</f>
        <v>1546320</v>
      </c>
      <c r="G26" s="7">
        <f>SUM(G6:G25)</f>
        <v>2319480</v>
      </c>
      <c r="H26" s="42">
        <f>SUM(H6:H25)</f>
        <v>11597400</v>
      </c>
    </row>
    <row r="28" spans="1:10" x14ac:dyDescent="0.35">
      <c r="A28" s="44" t="s">
        <v>52</v>
      </c>
      <c r="B28" s="44"/>
      <c r="C28" s="44"/>
      <c r="D28" s="44"/>
      <c r="E28" s="44"/>
      <c r="F28" s="44"/>
      <c r="G28" s="44"/>
      <c r="H28" s="44"/>
    </row>
    <row r="39" ht="14.5" customHeight="1" x14ac:dyDescent="0.35"/>
    <row r="40" ht="14.5" customHeight="1" x14ac:dyDescent="0.35"/>
    <row r="41" ht="14.5" customHeight="1" x14ac:dyDescent="0.35"/>
    <row r="53" spans="2:3" x14ac:dyDescent="0.35">
      <c r="B53" s="2"/>
      <c r="C53" s="4"/>
    </row>
    <row r="54" spans="2:3" x14ac:dyDescent="0.35">
      <c r="B54" s="2"/>
      <c r="C54" s="3"/>
    </row>
  </sheetData>
  <mergeCells count="3">
    <mergeCell ref="A2:H2"/>
    <mergeCell ref="A3:H3"/>
    <mergeCell ref="A28:H28"/>
  </mergeCells>
  <pageMargins left="0.59055118110236227" right="0.59055118110236227" top="0.78740157480314965" bottom="0.78740157480314965" header="0.31496062992125984" footer="0.31496062992125984"/>
  <pageSetup paperSize="9" orientation="landscape" r:id="rId1"/>
  <headerFooter>
    <oddHeader>&amp;LGruppe 6 (Dittli, Jolo, Kammermann, Lam)</oddHeader>
    <oddFooter>&amp;C2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Ressourcenplanung</vt:lpstr>
      <vt:lpstr>Mitarbeiter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Jolo</dc:creator>
  <cp:lastModifiedBy>Fabian Kammermann</cp:lastModifiedBy>
  <cp:lastPrinted>2016-11-17T14:00:45Z</cp:lastPrinted>
  <dcterms:created xsi:type="dcterms:W3CDTF">2016-11-16T15:39:41Z</dcterms:created>
  <dcterms:modified xsi:type="dcterms:W3CDTF">2016-11-17T14:01:20Z</dcterms:modified>
</cp:coreProperties>
</file>